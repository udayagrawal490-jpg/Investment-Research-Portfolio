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d7853b0ddcbaf39/"/>
    </mc:Choice>
  </mc:AlternateContent>
  <xr:revisionPtr revIDLastSave="968" documentId="14_{E0344766-8D1C-244C-9592-8D702E5A4351}" xr6:coauthVersionLast="47" xr6:coauthVersionMax="47" xr10:uidLastSave="{286A75A0-2912-6F44-9DFD-93B6CFF2272F}"/>
  <bookViews>
    <workbookView xWindow="0" yWindow="0" windowWidth="28800" windowHeight="18000" firstSheet="8" activeTab="13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cash flows" sheetId="13" r:id="rId6"/>
    <sheet name="Data Sheet" sheetId="6" r:id="rId7"/>
    <sheet name="Historical FS" sheetId="11" r:id="rId8"/>
    <sheet name="Ratio Analysis" sheetId="9" r:id="rId9"/>
    <sheet name="Forecating" sheetId="14" r:id="rId10"/>
    <sheet name="% Change" sheetId="17" r:id="rId11"/>
    <sheet name="Beta-Regression" sheetId="18" r:id="rId12"/>
    <sheet name="Beta - comps" sheetId="19" r:id="rId13"/>
    <sheet name="Sheet1" sheetId="24" r:id="rId14"/>
  </sheets>
  <externalReferences>
    <externalReference r:id="rId15"/>
  </externalReferences>
  <definedNames>
    <definedName name="UPDATE">'Data Sheet'!$E$1</definedName>
  </definedName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5" i="14" l="1"/>
  <c r="I42" i="19"/>
  <c r="J27" i="19"/>
  <c r="J25" i="19"/>
  <c r="D27" i="19"/>
  <c r="D25" i="19"/>
  <c r="J34" i="19"/>
  <c r="I41" i="19"/>
  <c r="C5" i="9"/>
  <c r="B54" i="11"/>
  <c r="B42" i="11"/>
  <c r="B41" i="11"/>
  <c r="B39" i="11"/>
  <c r="B38" i="11"/>
  <c r="C8" i="9" s="1"/>
  <c r="B36" i="11"/>
  <c r="B31" i="11"/>
  <c r="B8" i="11"/>
  <c r="J9" i="17"/>
  <c r="J7" i="17"/>
  <c r="G19" i="19"/>
  <c r="G18" i="19"/>
  <c r="F11" i="19"/>
  <c r="F12" i="19"/>
  <c r="F13" i="19"/>
  <c r="F14" i="19"/>
  <c r="F15" i="19"/>
  <c r="F16" i="19"/>
  <c r="F10" i="19"/>
  <c r="C34" i="19" s="1"/>
  <c r="E11" i="19"/>
  <c r="I11" i="19" s="1"/>
  <c r="E12" i="19"/>
  <c r="I12" i="19" s="1"/>
  <c r="E13" i="19"/>
  <c r="I13" i="19" s="1"/>
  <c r="E14" i="19"/>
  <c r="E15" i="19"/>
  <c r="I15" i="19" s="1"/>
  <c r="E16" i="19"/>
  <c r="E10" i="19"/>
  <c r="C33" i="19" s="1"/>
  <c r="BK5" i="18"/>
  <c r="BK6" i="18"/>
  <c r="BK7" i="18"/>
  <c r="BK8" i="18"/>
  <c r="BK9" i="18"/>
  <c r="BK10" i="18"/>
  <c r="BK11" i="18"/>
  <c r="BK12" i="18"/>
  <c r="BK13" i="18"/>
  <c r="BK14" i="18"/>
  <c r="BK15" i="18"/>
  <c r="BK16" i="18"/>
  <c r="BK17" i="18"/>
  <c r="BK18" i="18"/>
  <c r="BK19" i="18"/>
  <c r="BK20" i="18"/>
  <c r="BK21" i="18"/>
  <c r="BK22" i="18"/>
  <c r="BK23" i="18"/>
  <c r="BK24" i="18"/>
  <c r="BK25" i="18"/>
  <c r="BK26" i="18"/>
  <c r="BK27" i="18"/>
  <c r="BK28" i="18"/>
  <c r="BK29" i="18"/>
  <c r="BK30" i="18"/>
  <c r="BK31" i="18"/>
  <c r="BK32" i="18"/>
  <c r="BK33" i="18"/>
  <c r="BK34" i="18"/>
  <c r="BK35" i="18"/>
  <c r="BK36" i="18"/>
  <c r="BK37" i="18"/>
  <c r="BK38" i="18"/>
  <c r="BK39" i="18"/>
  <c r="BK40" i="18"/>
  <c r="BK41" i="18"/>
  <c r="BK42" i="18"/>
  <c r="BK43" i="18"/>
  <c r="BK44" i="18"/>
  <c r="BK45" i="18"/>
  <c r="BK46" i="18"/>
  <c r="BK47" i="18"/>
  <c r="BK48" i="18"/>
  <c r="BK49" i="18"/>
  <c r="BK50" i="18"/>
  <c r="BK51" i="18"/>
  <c r="BK52" i="18"/>
  <c r="BK53" i="18"/>
  <c r="BK54" i="18"/>
  <c r="BK55" i="18"/>
  <c r="BK56" i="18"/>
  <c r="BK57" i="18"/>
  <c r="BK58" i="18"/>
  <c r="BK59" i="18"/>
  <c r="BK60" i="18"/>
  <c r="BK61" i="18"/>
  <c r="BK62" i="18"/>
  <c r="BK63" i="18"/>
  <c r="BK64" i="18"/>
  <c r="BK65" i="18"/>
  <c r="BK66" i="18"/>
  <c r="BK67" i="18"/>
  <c r="BK68" i="18"/>
  <c r="BK69" i="18"/>
  <c r="BK70" i="18"/>
  <c r="BK71" i="18"/>
  <c r="BK72" i="18"/>
  <c r="BK73" i="18"/>
  <c r="BK74" i="18"/>
  <c r="BK75" i="18"/>
  <c r="BK76" i="18"/>
  <c r="BK77" i="18"/>
  <c r="BK78" i="18"/>
  <c r="BK79" i="18"/>
  <c r="BK80" i="18"/>
  <c r="BK81" i="18"/>
  <c r="BK82" i="18"/>
  <c r="BK83" i="18"/>
  <c r="BK84" i="18"/>
  <c r="BK85" i="18"/>
  <c r="BK86" i="18"/>
  <c r="BK87" i="18"/>
  <c r="BK88" i="18"/>
  <c r="BK89" i="18"/>
  <c r="BK90" i="18"/>
  <c r="BK91" i="18"/>
  <c r="BK92" i="18"/>
  <c r="BK93" i="18"/>
  <c r="BK94" i="18"/>
  <c r="BK95" i="18"/>
  <c r="BK96" i="18"/>
  <c r="BK97" i="18"/>
  <c r="BK98" i="18"/>
  <c r="BK99" i="18"/>
  <c r="BK100" i="18"/>
  <c r="BK101" i="18"/>
  <c r="BK102" i="18"/>
  <c r="BK103" i="18"/>
  <c r="BK104" i="18"/>
  <c r="BK105" i="18"/>
  <c r="BK106" i="18"/>
  <c r="BK4" i="18"/>
  <c r="AV5" i="18"/>
  <c r="AV6" i="18"/>
  <c r="AV7" i="18"/>
  <c r="AV8" i="18"/>
  <c r="AV9" i="18"/>
  <c r="AV10" i="18"/>
  <c r="AV11" i="18"/>
  <c r="AV12" i="18"/>
  <c r="AY27" i="18"/>
  <c r="AV13" i="18"/>
  <c r="AV14" i="18"/>
  <c r="AV15" i="18"/>
  <c r="AV16" i="18"/>
  <c r="AV17" i="18"/>
  <c r="AV18" i="18"/>
  <c r="AV19" i="18"/>
  <c r="AV20" i="18"/>
  <c r="AV21" i="18"/>
  <c r="AV22" i="18"/>
  <c r="AV23" i="18"/>
  <c r="AV24" i="18"/>
  <c r="AV25" i="18"/>
  <c r="AV26" i="18"/>
  <c r="AV27" i="18"/>
  <c r="AV28" i="18"/>
  <c r="AV29" i="18"/>
  <c r="AV30" i="18"/>
  <c r="AV31" i="18"/>
  <c r="AV32" i="18"/>
  <c r="AV33" i="18"/>
  <c r="AV34" i="18"/>
  <c r="AV35" i="18"/>
  <c r="AV36" i="18"/>
  <c r="AV37" i="18"/>
  <c r="AV38" i="18"/>
  <c r="AV39" i="18"/>
  <c r="AV40" i="18"/>
  <c r="AV41" i="18"/>
  <c r="AV42" i="18"/>
  <c r="AV43" i="18"/>
  <c r="AV44" i="18"/>
  <c r="AV45" i="18"/>
  <c r="AV46" i="18"/>
  <c r="AV47" i="18"/>
  <c r="AV48" i="18"/>
  <c r="AV49" i="18"/>
  <c r="AV50" i="18"/>
  <c r="AV51" i="18"/>
  <c r="AV52" i="18"/>
  <c r="AV53" i="18"/>
  <c r="AV54" i="18"/>
  <c r="AV55" i="18"/>
  <c r="AV56" i="18"/>
  <c r="AV57" i="18"/>
  <c r="AV58" i="18"/>
  <c r="AV59" i="18"/>
  <c r="AV60" i="18"/>
  <c r="AV61" i="18"/>
  <c r="AV62" i="18"/>
  <c r="AV63" i="18"/>
  <c r="AV64" i="18"/>
  <c r="AV65" i="18"/>
  <c r="AV66" i="18"/>
  <c r="AV67" i="18"/>
  <c r="AV68" i="18"/>
  <c r="AV69" i="18"/>
  <c r="AV70" i="18"/>
  <c r="AV71" i="18"/>
  <c r="AV72" i="18"/>
  <c r="AV73" i="18"/>
  <c r="AV74" i="18"/>
  <c r="AV75" i="18"/>
  <c r="AV76" i="18"/>
  <c r="AV77" i="18"/>
  <c r="AV78" i="18"/>
  <c r="AV79" i="18"/>
  <c r="AV80" i="18"/>
  <c r="AV81" i="18"/>
  <c r="AV82" i="18"/>
  <c r="AV83" i="18"/>
  <c r="AV84" i="18"/>
  <c r="AV85" i="18"/>
  <c r="AV86" i="18"/>
  <c r="AV87" i="18"/>
  <c r="AV88" i="18"/>
  <c r="AV89" i="18"/>
  <c r="AV90" i="18"/>
  <c r="AV91" i="18"/>
  <c r="AV92" i="18"/>
  <c r="AV93" i="18"/>
  <c r="AV94" i="18"/>
  <c r="AV95" i="18"/>
  <c r="AV96" i="18"/>
  <c r="AV97" i="18"/>
  <c r="AV98" i="18"/>
  <c r="AV99" i="18"/>
  <c r="AV100" i="18"/>
  <c r="AV101" i="18"/>
  <c r="AV102" i="18"/>
  <c r="AV103" i="18"/>
  <c r="AV104" i="18"/>
  <c r="AV105" i="18"/>
  <c r="AV106" i="18"/>
  <c r="AV4" i="18"/>
  <c r="AH5" i="18"/>
  <c r="AH6" i="18"/>
  <c r="AH7" i="18"/>
  <c r="AH8" i="18"/>
  <c r="AH9" i="18"/>
  <c r="AH10" i="18"/>
  <c r="AH11" i="18"/>
  <c r="AH12" i="18"/>
  <c r="AH13" i="18"/>
  <c r="AH14" i="18"/>
  <c r="AH15" i="18"/>
  <c r="AH16" i="18"/>
  <c r="AH17" i="18"/>
  <c r="AH18" i="18"/>
  <c r="AH19" i="18"/>
  <c r="AH20" i="18"/>
  <c r="AH21" i="18"/>
  <c r="AH22" i="18"/>
  <c r="AH23" i="18"/>
  <c r="AH24" i="18"/>
  <c r="AH25" i="18"/>
  <c r="AH26" i="18"/>
  <c r="AH27" i="18"/>
  <c r="AH28" i="18"/>
  <c r="AH29" i="18"/>
  <c r="AH30" i="18"/>
  <c r="AH31" i="18"/>
  <c r="AH32" i="18"/>
  <c r="AH33" i="18"/>
  <c r="AH34" i="18"/>
  <c r="AH35" i="18"/>
  <c r="AH36" i="18"/>
  <c r="AH37" i="18"/>
  <c r="AH38" i="18"/>
  <c r="AH39" i="18"/>
  <c r="AH40" i="18"/>
  <c r="AH41" i="18"/>
  <c r="AH42" i="18"/>
  <c r="AH43" i="18"/>
  <c r="AH44" i="18"/>
  <c r="AH45" i="18"/>
  <c r="AH46" i="18"/>
  <c r="AH47" i="18"/>
  <c r="AH48" i="18"/>
  <c r="AH49" i="18"/>
  <c r="AH50" i="18"/>
  <c r="AH51" i="18"/>
  <c r="AH52" i="18"/>
  <c r="AH53" i="18"/>
  <c r="AH54" i="18"/>
  <c r="AH55" i="18"/>
  <c r="AH56" i="18"/>
  <c r="AH57" i="18"/>
  <c r="AH58" i="18"/>
  <c r="AH59" i="18"/>
  <c r="AH60" i="18"/>
  <c r="AH61" i="18"/>
  <c r="AH62" i="18"/>
  <c r="AH63" i="18"/>
  <c r="AH64" i="18"/>
  <c r="AH65" i="18"/>
  <c r="AH66" i="18"/>
  <c r="AH67" i="18"/>
  <c r="AH68" i="18"/>
  <c r="AH69" i="18"/>
  <c r="AH70" i="18"/>
  <c r="AH71" i="18"/>
  <c r="AH72" i="18"/>
  <c r="AH73" i="18"/>
  <c r="AH74" i="18"/>
  <c r="AH75" i="18"/>
  <c r="AH76" i="18"/>
  <c r="AH77" i="18"/>
  <c r="AH78" i="18"/>
  <c r="AH79" i="18"/>
  <c r="AH80" i="18"/>
  <c r="AH81" i="18"/>
  <c r="AH82" i="18"/>
  <c r="AH83" i="18"/>
  <c r="AH84" i="18"/>
  <c r="AH85" i="18"/>
  <c r="AH86" i="18"/>
  <c r="AH87" i="18"/>
  <c r="AH88" i="18"/>
  <c r="AH89" i="18"/>
  <c r="AH90" i="18"/>
  <c r="AH91" i="18"/>
  <c r="AH92" i="18"/>
  <c r="AH93" i="18"/>
  <c r="AH94" i="18"/>
  <c r="AH95" i="18"/>
  <c r="AH96" i="18"/>
  <c r="AH97" i="18"/>
  <c r="AH98" i="18"/>
  <c r="AH99" i="18"/>
  <c r="AH100" i="18"/>
  <c r="AH101" i="18"/>
  <c r="AH102" i="18"/>
  <c r="AH103" i="18"/>
  <c r="AH104" i="18"/>
  <c r="AH105" i="18"/>
  <c r="AH106" i="18"/>
  <c r="AH4" i="18"/>
  <c r="S5" i="18"/>
  <c r="S6" i="18"/>
  <c r="S7" i="18"/>
  <c r="S8" i="18"/>
  <c r="S9" i="18"/>
  <c r="S10" i="18"/>
  <c r="S11" i="18"/>
  <c r="S12" i="18"/>
  <c r="S13" i="18"/>
  <c r="S14" i="18"/>
  <c r="S15" i="18"/>
  <c r="S16" i="18"/>
  <c r="S17" i="18"/>
  <c r="S18" i="18"/>
  <c r="S19" i="18"/>
  <c r="S20" i="18"/>
  <c r="S21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34" i="18"/>
  <c r="S35" i="18"/>
  <c r="S36" i="18"/>
  <c r="S37" i="18"/>
  <c r="S38" i="18"/>
  <c r="S39" i="18"/>
  <c r="S40" i="18"/>
  <c r="S41" i="18"/>
  <c r="S42" i="18"/>
  <c r="S43" i="18"/>
  <c r="S44" i="18"/>
  <c r="S45" i="18"/>
  <c r="S46" i="18"/>
  <c r="S47" i="18"/>
  <c r="S48" i="18"/>
  <c r="S49" i="18"/>
  <c r="S50" i="18"/>
  <c r="S51" i="18"/>
  <c r="S52" i="18"/>
  <c r="S53" i="18"/>
  <c r="S54" i="18"/>
  <c r="S55" i="18"/>
  <c r="S56" i="18"/>
  <c r="S57" i="18"/>
  <c r="S58" i="18"/>
  <c r="S59" i="18"/>
  <c r="S60" i="18"/>
  <c r="S61" i="18"/>
  <c r="S62" i="18"/>
  <c r="S63" i="18"/>
  <c r="S64" i="18"/>
  <c r="S65" i="18"/>
  <c r="S66" i="18"/>
  <c r="S67" i="18"/>
  <c r="S68" i="18"/>
  <c r="S69" i="18"/>
  <c r="S70" i="18"/>
  <c r="S71" i="18"/>
  <c r="S72" i="18"/>
  <c r="S73" i="18"/>
  <c r="S74" i="18"/>
  <c r="S75" i="18"/>
  <c r="S76" i="18"/>
  <c r="S77" i="18"/>
  <c r="S78" i="18"/>
  <c r="S79" i="18"/>
  <c r="S80" i="18"/>
  <c r="S81" i="18"/>
  <c r="S82" i="18"/>
  <c r="S83" i="18"/>
  <c r="S84" i="18"/>
  <c r="S85" i="18"/>
  <c r="S86" i="18"/>
  <c r="S87" i="18"/>
  <c r="S88" i="18"/>
  <c r="S89" i="18"/>
  <c r="S90" i="18"/>
  <c r="S91" i="18"/>
  <c r="S92" i="18"/>
  <c r="S93" i="18"/>
  <c r="S94" i="18"/>
  <c r="S95" i="18"/>
  <c r="S96" i="18"/>
  <c r="S97" i="18"/>
  <c r="S98" i="18"/>
  <c r="S99" i="18"/>
  <c r="S100" i="18"/>
  <c r="S101" i="18"/>
  <c r="S102" i="18"/>
  <c r="S103" i="18"/>
  <c r="S104" i="18"/>
  <c r="S105" i="18"/>
  <c r="S106" i="18"/>
  <c r="S4" i="18"/>
  <c r="B20" i="9"/>
  <c r="H6" i="17"/>
  <c r="H7" i="17"/>
  <c r="E15" i="18"/>
  <c r="J10" i="19"/>
  <c r="J26" i="19" s="1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5" i="17"/>
  <c r="L30" i="17"/>
  <c r="U27" i="18"/>
  <c r="E16" i="18"/>
  <c r="J11" i="19"/>
  <c r="E19" i="18"/>
  <c r="J16" i="19"/>
  <c r="E18" i="18"/>
  <c r="J13" i="19"/>
  <c r="E17" i="18"/>
  <c r="J12" i="19"/>
  <c r="AK28" i="18"/>
  <c r="I14" i="19"/>
  <c r="J19" i="19"/>
  <c r="BN29" i="18"/>
  <c r="D43" i="14"/>
  <c r="D42" i="14"/>
  <c r="D41" i="14"/>
  <c r="E41" i="14"/>
  <c r="D40" i="14"/>
  <c r="D39" i="14"/>
  <c r="C39" i="14"/>
  <c r="C40" i="14"/>
  <c r="C41" i="14"/>
  <c r="C42" i="14"/>
  <c r="C43" i="14"/>
  <c r="C32" i="14"/>
  <c r="D25" i="14"/>
  <c r="E25" i="14"/>
  <c r="D24" i="14"/>
  <c r="E24" i="14"/>
  <c r="D23" i="14"/>
  <c r="D22" i="14"/>
  <c r="D21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C31" i="14"/>
  <c r="C9" i="14"/>
  <c r="E22" i="14"/>
  <c r="E40" i="14"/>
  <c r="E23" i="14"/>
  <c r="E42" i="14"/>
  <c r="E43" i="14"/>
  <c r="C33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" i="9"/>
  <c r="D2" i="9"/>
  <c r="E2" i="9"/>
  <c r="F2" i="9"/>
  <c r="G2" i="9"/>
  <c r="H2" i="9"/>
  <c r="I2" i="9"/>
  <c r="K2" i="9"/>
  <c r="C2" i="11"/>
  <c r="D2" i="11"/>
  <c r="E2" i="11"/>
  <c r="F2" i="11"/>
  <c r="G2" i="11"/>
  <c r="H2" i="11"/>
  <c r="I2" i="11"/>
  <c r="K2" i="11"/>
  <c r="B98" i="11"/>
  <c r="C98" i="11"/>
  <c r="D98" i="11"/>
  <c r="E98" i="11"/>
  <c r="F98" i="11"/>
  <c r="G98" i="11"/>
  <c r="H98" i="11"/>
  <c r="I98" i="11"/>
  <c r="J98" i="11"/>
  <c r="K98" i="11"/>
  <c r="B97" i="11"/>
  <c r="C97" i="11"/>
  <c r="D97" i="11"/>
  <c r="E97" i="11"/>
  <c r="F97" i="11"/>
  <c r="G97" i="11"/>
  <c r="H97" i="11"/>
  <c r="I97" i="11"/>
  <c r="J97" i="11"/>
  <c r="K97" i="11"/>
  <c r="B93" i="11"/>
  <c r="C93" i="11"/>
  <c r="D93" i="11"/>
  <c r="E93" i="11"/>
  <c r="F93" i="11"/>
  <c r="G93" i="11"/>
  <c r="H93" i="11"/>
  <c r="I93" i="11"/>
  <c r="J93" i="11"/>
  <c r="K93" i="11"/>
  <c r="B96" i="11"/>
  <c r="C96" i="11"/>
  <c r="C99" i="11"/>
  <c r="D96" i="11"/>
  <c r="E96" i="11"/>
  <c r="F96" i="11"/>
  <c r="G96" i="11"/>
  <c r="H96" i="11"/>
  <c r="H99" i="11"/>
  <c r="I96" i="11"/>
  <c r="J96" i="11"/>
  <c r="K96" i="11"/>
  <c r="K99" i="11"/>
  <c r="B95" i="11"/>
  <c r="C95" i="11"/>
  <c r="D95" i="11"/>
  <c r="E95" i="11"/>
  <c r="F95" i="11"/>
  <c r="G95" i="11"/>
  <c r="H95" i="11"/>
  <c r="I95" i="11"/>
  <c r="J95" i="11"/>
  <c r="K95" i="11"/>
  <c r="B94" i="11"/>
  <c r="C94" i="11"/>
  <c r="D94" i="11"/>
  <c r="E94" i="11"/>
  <c r="F94" i="11"/>
  <c r="G94" i="11"/>
  <c r="H94" i="11"/>
  <c r="I94" i="11"/>
  <c r="J94" i="11"/>
  <c r="K94" i="11"/>
  <c r="B92" i="11"/>
  <c r="B99" i="11"/>
  <c r="C92" i="11"/>
  <c r="D92" i="11"/>
  <c r="D99" i="11"/>
  <c r="E92" i="11"/>
  <c r="E99" i="11"/>
  <c r="F92" i="11"/>
  <c r="F99" i="11"/>
  <c r="G92" i="11"/>
  <c r="G99" i="11"/>
  <c r="H92" i="11"/>
  <c r="I92" i="11"/>
  <c r="I99" i="11"/>
  <c r="J92" i="11"/>
  <c r="J99" i="11"/>
  <c r="K92" i="11"/>
  <c r="B88" i="11"/>
  <c r="C88" i="11"/>
  <c r="D88" i="11"/>
  <c r="E88" i="11"/>
  <c r="F88" i="11"/>
  <c r="G88" i="11"/>
  <c r="H88" i="11"/>
  <c r="I88" i="11"/>
  <c r="J88" i="11"/>
  <c r="K88" i="11"/>
  <c r="B87" i="11"/>
  <c r="C87" i="11"/>
  <c r="D87" i="11"/>
  <c r="E87" i="11"/>
  <c r="F87" i="11"/>
  <c r="G87" i="11"/>
  <c r="H87" i="11"/>
  <c r="I87" i="11"/>
  <c r="J87" i="11"/>
  <c r="K87" i="11"/>
  <c r="B86" i="11"/>
  <c r="C86" i="11"/>
  <c r="D86" i="11"/>
  <c r="E86" i="11"/>
  <c r="F86" i="11"/>
  <c r="G86" i="11"/>
  <c r="H86" i="11"/>
  <c r="I86" i="11"/>
  <c r="J86" i="11"/>
  <c r="K86" i="11"/>
  <c r="B85" i="11"/>
  <c r="C85" i="11"/>
  <c r="D85" i="11"/>
  <c r="E85" i="11"/>
  <c r="F85" i="11"/>
  <c r="G85" i="11"/>
  <c r="H85" i="11"/>
  <c r="I85" i="11"/>
  <c r="J85" i="11"/>
  <c r="K85" i="11"/>
  <c r="B83" i="11"/>
  <c r="C83" i="11"/>
  <c r="D83" i="11"/>
  <c r="E83" i="11"/>
  <c r="F83" i="11"/>
  <c r="G83" i="11"/>
  <c r="H83" i="11"/>
  <c r="I83" i="11"/>
  <c r="J83" i="11"/>
  <c r="K83" i="11"/>
  <c r="K89" i="11"/>
  <c r="B84" i="11"/>
  <c r="C84" i="11"/>
  <c r="D84" i="11"/>
  <c r="E84" i="11"/>
  <c r="F84" i="11"/>
  <c r="G84" i="11"/>
  <c r="H84" i="11"/>
  <c r="I84" i="11"/>
  <c r="J84" i="11"/>
  <c r="K84" i="11"/>
  <c r="B82" i="11"/>
  <c r="C82" i="11"/>
  <c r="D82" i="11"/>
  <c r="E82" i="11"/>
  <c r="F82" i="11"/>
  <c r="G82" i="11"/>
  <c r="H82" i="11"/>
  <c r="I82" i="11"/>
  <c r="J82" i="11"/>
  <c r="K82" i="11"/>
  <c r="B81" i="11"/>
  <c r="B89" i="11"/>
  <c r="C81" i="11"/>
  <c r="D81" i="11"/>
  <c r="E81" i="11"/>
  <c r="E89" i="11"/>
  <c r="F81" i="11"/>
  <c r="G81" i="11"/>
  <c r="H81" i="11"/>
  <c r="I81" i="11"/>
  <c r="J81" i="11"/>
  <c r="J89" i="11"/>
  <c r="K81" i="11"/>
  <c r="B76" i="11"/>
  <c r="C76" i="11"/>
  <c r="D76" i="11"/>
  <c r="E76" i="11"/>
  <c r="F76" i="11"/>
  <c r="G76" i="11"/>
  <c r="H76" i="11"/>
  <c r="I76" i="11"/>
  <c r="J76" i="11"/>
  <c r="K76" i="11"/>
  <c r="C75" i="11"/>
  <c r="D75" i="11"/>
  <c r="E75" i="11"/>
  <c r="F75" i="11"/>
  <c r="G75" i="11"/>
  <c r="H75" i="11"/>
  <c r="I75" i="11"/>
  <c r="J75" i="11"/>
  <c r="K75" i="11"/>
  <c r="B75" i="11"/>
  <c r="B74" i="11"/>
  <c r="C74" i="11"/>
  <c r="D74" i="11"/>
  <c r="E74" i="11"/>
  <c r="F74" i="11"/>
  <c r="G74" i="11"/>
  <c r="H74" i="11"/>
  <c r="I74" i="11"/>
  <c r="J74" i="11"/>
  <c r="K74" i="11"/>
  <c r="B73" i="11"/>
  <c r="C73" i="11"/>
  <c r="D73" i="11"/>
  <c r="E73" i="11"/>
  <c r="F73" i="11"/>
  <c r="G73" i="11"/>
  <c r="H73" i="11"/>
  <c r="I73" i="11"/>
  <c r="J73" i="11"/>
  <c r="K73" i="11"/>
  <c r="B72" i="11"/>
  <c r="C72" i="11"/>
  <c r="D72" i="11"/>
  <c r="E72" i="11"/>
  <c r="F72" i="11"/>
  <c r="G72" i="11"/>
  <c r="H72" i="11"/>
  <c r="I72" i="11"/>
  <c r="J72" i="11"/>
  <c r="K72" i="11"/>
  <c r="B71" i="11"/>
  <c r="C71" i="11"/>
  <c r="D71" i="11"/>
  <c r="E71" i="11"/>
  <c r="F71" i="11"/>
  <c r="G71" i="11"/>
  <c r="H71" i="11"/>
  <c r="I71" i="11"/>
  <c r="J71" i="11"/>
  <c r="K71" i="11"/>
  <c r="B70" i="11"/>
  <c r="C70" i="11"/>
  <c r="D70" i="11"/>
  <c r="E70" i="11"/>
  <c r="F70" i="11"/>
  <c r="G70" i="11"/>
  <c r="H70" i="11"/>
  <c r="I70" i="11"/>
  <c r="J70" i="11"/>
  <c r="K70" i="11"/>
  <c r="B69" i="11"/>
  <c r="C69" i="11"/>
  <c r="D69" i="11"/>
  <c r="E69" i="11"/>
  <c r="F69" i="11"/>
  <c r="G69" i="11"/>
  <c r="H69" i="11"/>
  <c r="I69" i="11"/>
  <c r="J69" i="11"/>
  <c r="K69" i="11"/>
  <c r="C54" i="11"/>
  <c r="D54" i="11"/>
  <c r="E54" i="11"/>
  <c r="F54" i="11"/>
  <c r="G54" i="11"/>
  <c r="H54" i="11"/>
  <c r="I54" i="11"/>
  <c r="J54" i="11"/>
  <c r="K54" i="11"/>
  <c r="B59" i="11"/>
  <c r="C59" i="11"/>
  <c r="D59" i="11"/>
  <c r="E59" i="11"/>
  <c r="F59" i="11"/>
  <c r="G59" i="11"/>
  <c r="H59" i="11"/>
  <c r="I59" i="11"/>
  <c r="J59" i="11"/>
  <c r="K59" i="11"/>
  <c r="B58" i="11"/>
  <c r="C58" i="11"/>
  <c r="D58" i="11"/>
  <c r="E58" i="11"/>
  <c r="F58" i="11"/>
  <c r="G58" i="11"/>
  <c r="H58" i="11"/>
  <c r="I58" i="11"/>
  <c r="J58" i="11"/>
  <c r="K58" i="11"/>
  <c r="B57" i="11"/>
  <c r="C57" i="11"/>
  <c r="D57" i="11"/>
  <c r="E57" i="11"/>
  <c r="F57" i="11"/>
  <c r="G57" i="11"/>
  <c r="H57" i="11"/>
  <c r="I57" i="11"/>
  <c r="J57" i="11"/>
  <c r="K57" i="11"/>
  <c r="B53" i="11"/>
  <c r="C53" i="11"/>
  <c r="D53" i="11"/>
  <c r="E53" i="11"/>
  <c r="F53" i="11"/>
  <c r="G53" i="11"/>
  <c r="H53" i="11"/>
  <c r="I53" i="11"/>
  <c r="J53" i="11"/>
  <c r="K53" i="11"/>
  <c r="B52" i="11"/>
  <c r="C52" i="11"/>
  <c r="D52" i="11"/>
  <c r="E52" i="11"/>
  <c r="F52" i="11"/>
  <c r="G52" i="11"/>
  <c r="H52" i="11"/>
  <c r="I52" i="11"/>
  <c r="J52" i="11"/>
  <c r="K52" i="11"/>
  <c r="B51" i="11"/>
  <c r="C51" i="11"/>
  <c r="D51" i="11"/>
  <c r="E51" i="11"/>
  <c r="F51" i="11"/>
  <c r="G51" i="11"/>
  <c r="H51" i="11"/>
  <c r="I51" i="11"/>
  <c r="J51" i="11"/>
  <c r="K51" i="11"/>
  <c r="B48" i="11"/>
  <c r="C48" i="11"/>
  <c r="D48" i="11"/>
  <c r="E48" i="11"/>
  <c r="F48" i="11"/>
  <c r="G48" i="11"/>
  <c r="H48" i="11"/>
  <c r="I48" i="11"/>
  <c r="J48" i="11"/>
  <c r="K48" i="11"/>
  <c r="B47" i="11"/>
  <c r="C47" i="11"/>
  <c r="D47" i="11"/>
  <c r="E47" i="11"/>
  <c r="F47" i="11"/>
  <c r="G47" i="11"/>
  <c r="H47" i="11"/>
  <c r="I47" i="11"/>
  <c r="J47" i="11"/>
  <c r="K47" i="11"/>
  <c r="B46" i="11"/>
  <c r="C46" i="11"/>
  <c r="D46" i="11"/>
  <c r="E46" i="11"/>
  <c r="F46" i="11"/>
  <c r="G46" i="11"/>
  <c r="H46" i="11"/>
  <c r="I46" i="11"/>
  <c r="J46" i="11"/>
  <c r="K46" i="11"/>
  <c r="B45" i="11"/>
  <c r="C45" i="11"/>
  <c r="D45" i="11"/>
  <c r="E45" i="11"/>
  <c r="F45" i="11"/>
  <c r="G45" i="11"/>
  <c r="H45" i="11"/>
  <c r="I45" i="11"/>
  <c r="J45" i="11"/>
  <c r="K45" i="11"/>
  <c r="B34" i="11"/>
  <c r="C34" i="11"/>
  <c r="C38" i="11"/>
  <c r="D34" i="11"/>
  <c r="D38" i="11"/>
  <c r="D8" i="9"/>
  <c r="E34" i="11"/>
  <c r="E38" i="11"/>
  <c r="E8" i="9"/>
  <c r="F34" i="11"/>
  <c r="F38" i="11"/>
  <c r="F8" i="9"/>
  <c r="G34" i="11"/>
  <c r="G38" i="11"/>
  <c r="G8" i="9"/>
  <c r="H34" i="11"/>
  <c r="H38" i="11"/>
  <c r="H8" i="9"/>
  <c r="I34" i="11"/>
  <c r="I38" i="11"/>
  <c r="I8" i="9"/>
  <c r="J34" i="11"/>
  <c r="J38" i="11"/>
  <c r="J8" i="9"/>
  <c r="K34" i="11"/>
  <c r="K38" i="11"/>
  <c r="K8" i="9"/>
  <c r="B28" i="11"/>
  <c r="C28" i="11"/>
  <c r="D28" i="11"/>
  <c r="E28" i="11"/>
  <c r="F28" i="11"/>
  <c r="G28" i="11"/>
  <c r="H28" i="11"/>
  <c r="I28" i="11"/>
  <c r="J28" i="11"/>
  <c r="K28" i="11"/>
  <c r="B25" i="11"/>
  <c r="C25" i="11"/>
  <c r="C6" i="9"/>
  <c r="D25" i="11"/>
  <c r="D6" i="9"/>
  <c r="E25" i="11"/>
  <c r="E6" i="9"/>
  <c r="F25" i="11"/>
  <c r="F6" i="9"/>
  <c r="G25" i="11"/>
  <c r="G6" i="9"/>
  <c r="H25" i="11"/>
  <c r="H6" i="9"/>
  <c r="I25" i="11"/>
  <c r="I31" i="11"/>
  <c r="I22" i="9"/>
  <c r="J25" i="11"/>
  <c r="J6" i="9"/>
  <c r="K25" i="11"/>
  <c r="K6" i="9"/>
  <c r="B22" i="11"/>
  <c r="C22" i="11"/>
  <c r="D22" i="11"/>
  <c r="E22" i="11"/>
  <c r="F22" i="11"/>
  <c r="G22" i="11"/>
  <c r="H22" i="11"/>
  <c r="I22" i="11"/>
  <c r="J22" i="11"/>
  <c r="K22" i="11"/>
  <c r="B19" i="11"/>
  <c r="C19" i="11"/>
  <c r="D19" i="11"/>
  <c r="E19" i="11"/>
  <c r="F19" i="11"/>
  <c r="G19" i="11"/>
  <c r="H19" i="11"/>
  <c r="I19" i="11"/>
  <c r="J19" i="11"/>
  <c r="J20" i="11"/>
  <c r="K19" i="11"/>
  <c r="B13" i="11"/>
  <c r="B14" i="11"/>
  <c r="B16" i="9"/>
  <c r="C13" i="11"/>
  <c r="D13" i="11"/>
  <c r="E13" i="11"/>
  <c r="F13" i="11"/>
  <c r="G13" i="11"/>
  <c r="H13" i="11"/>
  <c r="I13" i="11"/>
  <c r="J13" i="11"/>
  <c r="J14" i="11"/>
  <c r="J16" i="9"/>
  <c r="K13" i="11"/>
  <c r="B7" i="11"/>
  <c r="C7" i="11"/>
  <c r="D7" i="11"/>
  <c r="E7" i="11"/>
  <c r="F7" i="11"/>
  <c r="G7" i="11"/>
  <c r="H7" i="11"/>
  <c r="I7" i="11"/>
  <c r="I8" i="11"/>
  <c r="J7" i="11"/>
  <c r="K7" i="11"/>
  <c r="B4" i="11"/>
  <c r="B3" i="9"/>
  <c r="C4" i="11"/>
  <c r="C3" i="9"/>
  <c r="C4" i="9"/>
  <c r="D4" i="11"/>
  <c r="D3" i="9"/>
  <c r="E4" i="11"/>
  <c r="E3" i="9"/>
  <c r="F4" i="11"/>
  <c r="G4" i="11"/>
  <c r="H4" i="11"/>
  <c r="H3" i="9"/>
  <c r="I4" i="11"/>
  <c r="I3" i="9"/>
  <c r="J4" i="11"/>
  <c r="J3" i="9"/>
  <c r="J4" i="9"/>
  <c r="K4" i="11"/>
  <c r="K3" i="9"/>
  <c r="K4" i="9"/>
  <c r="C6" i="3"/>
  <c r="D6" i="3"/>
  <c r="E6" i="3"/>
  <c r="F6" i="3"/>
  <c r="G6" i="3"/>
  <c r="H6" i="3"/>
  <c r="I6" i="3"/>
  <c r="J6" i="3"/>
  <c r="K6" i="3"/>
  <c r="B6" i="3"/>
  <c r="C5" i="1"/>
  <c r="D5" i="1"/>
  <c r="D6" i="1"/>
  <c r="D19" i="1"/>
  <c r="E5" i="1"/>
  <c r="F5" i="1"/>
  <c r="G5" i="1"/>
  <c r="H5" i="1"/>
  <c r="I5" i="1"/>
  <c r="J5" i="1"/>
  <c r="K5" i="1"/>
  <c r="B5" i="1"/>
  <c r="B6" i="1"/>
  <c r="B19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G21" i="2"/>
  <c r="H18" i="2"/>
  <c r="H21" i="2"/>
  <c r="I18" i="2"/>
  <c r="J18" i="2"/>
  <c r="K18" i="2"/>
  <c r="B17" i="2"/>
  <c r="C4" i="2"/>
  <c r="D4" i="2"/>
  <c r="D23" i="2"/>
  <c r="E4" i="2"/>
  <c r="E23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H23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H16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C16" i="2"/>
  <c r="D13" i="2"/>
  <c r="D16" i="2"/>
  <c r="E13" i="2"/>
  <c r="E16" i="2"/>
  <c r="F13" i="2"/>
  <c r="G13" i="2"/>
  <c r="H13" i="2"/>
  <c r="I13" i="2"/>
  <c r="J13" i="2"/>
  <c r="K13" i="2"/>
  <c r="K16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/>
  <c r="D4" i="3"/>
  <c r="D14" i="3"/>
  <c r="E4" i="3"/>
  <c r="F4" i="3"/>
  <c r="G4" i="3"/>
  <c r="H4" i="3"/>
  <c r="H14" i="3"/>
  <c r="I4" i="3"/>
  <c r="J4" i="3"/>
  <c r="K4" i="3"/>
  <c r="K1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L8" i="1"/>
  <c r="J8" i="3"/>
  <c r="K8" i="3"/>
  <c r="C9" i="3"/>
  <c r="D9" i="3"/>
  <c r="E9" i="3"/>
  <c r="F9" i="3"/>
  <c r="G9" i="3"/>
  <c r="H9" i="3"/>
  <c r="L9" i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L12" i="1"/>
  <c r="L13" i="1"/>
  <c r="L14" i="1"/>
  <c r="L25" i="1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E21" i="2"/>
  <c r="F4" i="1"/>
  <c r="F20" i="2"/>
  <c r="G4" i="1"/>
  <c r="H4" i="1"/>
  <c r="I4" i="1"/>
  <c r="I6" i="1"/>
  <c r="I19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/>
  <c r="D12" i="1"/>
  <c r="E12" i="1"/>
  <c r="F12" i="1"/>
  <c r="F13" i="1"/>
  <c r="G12" i="1"/>
  <c r="G13" i="1"/>
  <c r="G14" i="1"/>
  <c r="H12" i="1"/>
  <c r="H13" i="1"/>
  <c r="I12" i="1"/>
  <c r="I23" i="2"/>
  <c r="J12" i="1"/>
  <c r="J13" i="1"/>
  <c r="K12" i="1"/>
  <c r="K13" i="1"/>
  <c r="K14" i="1"/>
  <c r="C15" i="1"/>
  <c r="D15" i="1"/>
  <c r="E15" i="1"/>
  <c r="F15" i="1"/>
  <c r="G15" i="1"/>
  <c r="H15" i="1"/>
  <c r="I15" i="1"/>
  <c r="J15" i="1"/>
  <c r="K15" i="1"/>
  <c r="B15" i="1"/>
  <c r="B7" i="1"/>
  <c r="B4" i="1"/>
  <c r="B20" i="2"/>
  <c r="A1" i="1"/>
  <c r="E1" i="6"/>
  <c r="H1" i="1"/>
  <c r="E1" i="2"/>
  <c r="F23" i="2"/>
  <c r="F16" i="2"/>
  <c r="E6" i="1"/>
  <c r="E19" i="1"/>
  <c r="J6" i="1"/>
  <c r="J19" i="1"/>
  <c r="K6" i="1"/>
  <c r="K19" i="1"/>
  <c r="G6" i="1"/>
  <c r="G19" i="1"/>
  <c r="C6" i="1"/>
  <c r="C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F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F14" i="3"/>
  <c r="B12" i="3"/>
  <c r="B11" i="3"/>
  <c r="B10" i="3"/>
  <c r="B9" i="3"/>
  <c r="B8" i="3"/>
  <c r="B7" i="3"/>
  <c r="B4" i="3"/>
  <c r="B3" i="3"/>
  <c r="L15" i="1"/>
  <c r="B12" i="1"/>
  <c r="B13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1" i="1"/>
  <c r="L10" i="1"/>
  <c r="N11" i="1"/>
  <c r="L6" i="1"/>
  <c r="L19" i="1"/>
  <c r="L24" i="1"/>
  <c r="L4" i="1"/>
  <c r="L23" i="1"/>
  <c r="A1" i="3"/>
  <c r="A1" i="2"/>
  <c r="A1" i="4"/>
  <c r="H23" i="1"/>
  <c r="I23" i="1"/>
  <c r="J23" i="1"/>
  <c r="L5" i="1"/>
  <c r="D4" i="9"/>
  <c r="M6" i="9"/>
  <c r="N6" i="9"/>
  <c r="G10" i="11"/>
  <c r="G28" i="9"/>
  <c r="G34" i="9"/>
  <c r="G29" i="9"/>
  <c r="G30" i="9"/>
  <c r="G26" i="9"/>
  <c r="G32" i="9"/>
  <c r="G27" i="9"/>
  <c r="G33" i="9"/>
  <c r="J14" i="1"/>
  <c r="F29" i="9"/>
  <c r="F28" i="9"/>
  <c r="F34" i="9"/>
  <c r="F30" i="9"/>
  <c r="F27" i="9"/>
  <c r="F33" i="9"/>
  <c r="F26" i="9"/>
  <c r="F32" i="9"/>
  <c r="D89" i="11"/>
  <c r="G23" i="2"/>
  <c r="E5" i="11"/>
  <c r="E28" i="9"/>
  <c r="E34" i="9"/>
  <c r="E27" i="9"/>
  <c r="E33" i="9"/>
  <c r="E29" i="9"/>
  <c r="E26" i="9"/>
  <c r="E32" i="9"/>
  <c r="E30" i="9"/>
  <c r="C89" i="11"/>
  <c r="G16" i="2"/>
  <c r="D10" i="11"/>
  <c r="D10" i="9"/>
  <c r="D28" i="9"/>
  <c r="D34" i="9"/>
  <c r="D27" i="9"/>
  <c r="D33" i="9"/>
  <c r="D30" i="9"/>
  <c r="D29" i="9"/>
  <c r="D26" i="9"/>
  <c r="D32" i="9"/>
  <c r="K27" i="9"/>
  <c r="K33" i="9"/>
  <c r="K30" i="9"/>
  <c r="K26" i="9"/>
  <c r="K32" i="9"/>
  <c r="K28" i="9"/>
  <c r="K34" i="9"/>
  <c r="K29" i="9"/>
  <c r="C10" i="11"/>
  <c r="C10" i="9"/>
  <c r="C27" i="9"/>
  <c r="C33" i="9"/>
  <c r="C30" i="9"/>
  <c r="C26" i="9"/>
  <c r="C32" i="9"/>
  <c r="C28" i="9"/>
  <c r="C34" i="9"/>
  <c r="C29" i="9"/>
  <c r="I89" i="11"/>
  <c r="B14" i="3"/>
  <c r="F14" i="1"/>
  <c r="J27" i="9"/>
  <c r="J33" i="9"/>
  <c r="J26" i="9"/>
  <c r="J32" i="9"/>
  <c r="J30" i="9"/>
  <c r="J28" i="9"/>
  <c r="J34" i="9"/>
  <c r="J35" i="9"/>
  <c r="J29" i="9"/>
  <c r="B27" i="9"/>
  <c r="B30" i="9"/>
  <c r="B26" i="9"/>
  <c r="B28" i="9"/>
  <c r="B29" i="9"/>
  <c r="H89" i="11"/>
  <c r="B16" i="2"/>
  <c r="I30" i="9"/>
  <c r="I26" i="9"/>
  <c r="I32" i="9"/>
  <c r="I29" i="9"/>
  <c r="I27" i="9"/>
  <c r="I33" i="9"/>
  <c r="I28" i="9"/>
  <c r="I34" i="9"/>
  <c r="I35" i="9"/>
  <c r="G89" i="11"/>
  <c r="G3" i="9"/>
  <c r="G4" i="9"/>
  <c r="E1" i="3"/>
  <c r="C14" i="1"/>
  <c r="H10" i="11"/>
  <c r="H30" i="9"/>
  <c r="H26" i="9"/>
  <c r="H32" i="9"/>
  <c r="H29" i="9"/>
  <c r="H28" i="9"/>
  <c r="H34" i="9"/>
  <c r="H27" i="9"/>
  <c r="H33" i="9"/>
  <c r="F89" i="11"/>
  <c r="F3" i="9"/>
  <c r="F4" i="9"/>
  <c r="I6" i="9"/>
  <c r="E4" i="9"/>
  <c r="I4" i="9"/>
  <c r="H8" i="11"/>
  <c r="J31" i="11"/>
  <c r="D29" i="11"/>
  <c r="K10" i="11"/>
  <c r="K10" i="9"/>
  <c r="I77" i="11"/>
  <c r="H26" i="11"/>
  <c r="H13" i="9"/>
  <c r="J10" i="11"/>
  <c r="B10" i="11"/>
  <c r="B10" i="9"/>
  <c r="E29" i="11"/>
  <c r="H77" i="11"/>
  <c r="F10" i="11"/>
  <c r="K60" i="11"/>
  <c r="K62" i="11"/>
  <c r="K64" i="11"/>
  <c r="H5" i="11"/>
  <c r="D14" i="11"/>
  <c r="D16" i="9"/>
  <c r="M16" i="9"/>
  <c r="K31" i="11"/>
  <c r="C31" i="11"/>
  <c r="F29" i="11"/>
  <c r="F23" i="11"/>
  <c r="F17" i="9"/>
  <c r="D60" i="11"/>
  <c r="K16" i="11"/>
  <c r="E8" i="11"/>
  <c r="G14" i="11"/>
  <c r="G16" i="9"/>
  <c r="D23" i="11"/>
  <c r="D17" i="9"/>
  <c r="H55" i="11"/>
  <c r="F60" i="11"/>
  <c r="J26" i="11"/>
  <c r="J13" i="9"/>
  <c r="G8" i="11"/>
  <c r="F14" i="11"/>
  <c r="F16" i="9"/>
  <c r="H20" i="11"/>
  <c r="G49" i="11"/>
  <c r="E60" i="11"/>
  <c r="G23" i="11"/>
  <c r="G17" i="9"/>
  <c r="E23" i="11"/>
  <c r="E17" i="9"/>
  <c r="C60" i="11"/>
  <c r="I5" i="11"/>
  <c r="E14" i="11"/>
  <c r="E16" i="9"/>
  <c r="G20" i="11"/>
  <c r="G29" i="11"/>
  <c r="F49" i="11"/>
  <c r="F8" i="11"/>
  <c r="K20" i="11"/>
  <c r="C20" i="11"/>
  <c r="I49" i="11"/>
  <c r="J55" i="11"/>
  <c r="B55" i="11"/>
  <c r="B62" i="11" s="1"/>
  <c r="F55" i="11"/>
  <c r="H60" i="11"/>
  <c r="J60" i="11"/>
  <c r="B60" i="11"/>
  <c r="K77" i="11"/>
  <c r="C77" i="11"/>
  <c r="D16" i="11"/>
  <c r="H49" i="11"/>
  <c r="I55" i="11"/>
  <c r="G60" i="11"/>
  <c r="I60" i="11"/>
  <c r="G55" i="11"/>
  <c r="J77" i="11"/>
  <c r="B77" i="11"/>
  <c r="B20" i="11"/>
  <c r="B26" i="11"/>
  <c r="B13" i="9"/>
  <c r="K5" i="11"/>
  <c r="K14" i="11"/>
  <c r="K16" i="9"/>
  <c r="K23" i="11"/>
  <c r="K17" i="9"/>
  <c r="K29" i="11"/>
  <c r="G77" i="11"/>
  <c r="C5" i="11"/>
  <c r="D8" i="11"/>
  <c r="E10" i="11"/>
  <c r="F20" i="11"/>
  <c r="J23" i="11"/>
  <c r="J17" i="9"/>
  <c r="B23" i="11"/>
  <c r="B17" i="9"/>
  <c r="F26" i="11"/>
  <c r="F13" i="9"/>
  <c r="J29" i="11"/>
  <c r="B29" i="11"/>
  <c r="D49" i="11"/>
  <c r="E55" i="11"/>
  <c r="F77" i="11"/>
  <c r="G31" i="11"/>
  <c r="E49" i="11"/>
  <c r="G5" i="11"/>
  <c r="K8" i="11"/>
  <c r="C8" i="11"/>
  <c r="E20" i="11"/>
  <c r="I23" i="11"/>
  <c r="I17" i="9"/>
  <c r="E26" i="11"/>
  <c r="E13" i="9"/>
  <c r="I29" i="11"/>
  <c r="K49" i="11"/>
  <c r="C49" i="11"/>
  <c r="D55" i="11"/>
  <c r="D62" i="11"/>
  <c r="E77" i="11"/>
  <c r="C14" i="11"/>
  <c r="C16" i="9"/>
  <c r="N16" i="9"/>
  <c r="C23" i="11"/>
  <c r="C17" i="9"/>
  <c r="C29" i="11"/>
  <c r="F5" i="11"/>
  <c r="J8" i="11"/>
  <c r="H14" i="11"/>
  <c r="H16" i="9"/>
  <c r="D20" i="11"/>
  <c r="H23" i="11"/>
  <c r="H17" i="9"/>
  <c r="D26" i="11"/>
  <c r="D13" i="9"/>
  <c r="H29" i="11"/>
  <c r="J49" i="11"/>
  <c r="B49" i="11"/>
  <c r="K55" i="11"/>
  <c r="C55" i="11"/>
  <c r="C62" i="11"/>
  <c r="C64" i="11"/>
  <c r="D77" i="11"/>
  <c r="I36" i="11"/>
  <c r="I39" i="11"/>
  <c r="I41" i="11"/>
  <c r="I21" i="9"/>
  <c r="I23" i="9"/>
  <c r="I32" i="11"/>
  <c r="I14" i="9"/>
  <c r="G26" i="11"/>
  <c r="G13" i="9"/>
  <c r="E31" i="11"/>
  <c r="D5" i="11"/>
  <c r="I10" i="11"/>
  <c r="K26" i="11"/>
  <c r="K13" i="9"/>
  <c r="C26" i="11"/>
  <c r="C13" i="9"/>
  <c r="H31" i="11"/>
  <c r="J5" i="11"/>
  <c r="I26" i="11"/>
  <c r="I13" i="9"/>
  <c r="I14" i="11"/>
  <c r="I16" i="9"/>
  <c r="I20" i="11"/>
  <c r="F31" i="11"/>
  <c r="D31" i="11"/>
  <c r="J16" i="2"/>
  <c r="E24" i="2"/>
  <c r="C23" i="2"/>
  <c r="E14" i="1"/>
  <c r="J24" i="2"/>
  <c r="D24" i="2"/>
  <c r="B14" i="1"/>
  <c r="D14" i="1"/>
  <c r="I24" i="2"/>
  <c r="M11" i="1"/>
  <c r="K23" i="2"/>
  <c r="I14" i="1"/>
  <c r="K25" i="1"/>
  <c r="M25" i="1"/>
  <c r="M14" i="1"/>
  <c r="C24" i="2"/>
  <c r="H24" i="2"/>
  <c r="B23" i="2"/>
  <c r="I13" i="1"/>
  <c r="H14" i="1"/>
  <c r="G24" i="2"/>
  <c r="D13" i="1"/>
  <c r="E13" i="1"/>
  <c r="K24" i="1"/>
  <c r="M24" i="1"/>
  <c r="L7" i="1"/>
  <c r="J23" i="2"/>
  <c r="I16" i="2"/>
  <c r="K24" i="2"/>
  <c r="F24" i="2"/>
  <c r="J25" i="1"/>
  <c r="M9" i="1"/>
  <c r="N9" i="1"/>
  <c r="N8" i="1"/>
  <c r="M8" i="1"/>
  <c r="H25" i="1"/>
  <c r="N25" i="1"/>
  <c r="N14" i="1"/>
  <c r="I25" i="1"/>
  <c r="I20" i="2"/>
  <c r="J24" i="1"/>
  <c r="H20" i="2"/>
  <c r="K23" i="1"/>
  <c r="M23" i="1"/>
  <c r="M4" i="1"/>
  <c r="H6" i="1"/>
  <c r="H19" i="1"/>
  <c r="F6" i="1"/>
  <c r="F19" i="1"/>
  <c r="I24" i="1"/>
  <c r="E1" i="4"/>
  <c r="C35" i="9"/>
  <c r="G16" i="11"/>
  <c r="G10" i="9"/>
  <c r="H39" i="9"/>
  <c r="H38" i="9"/>
  <c r="H37" i="9"/>
  <c r="H101" i="11"/>
  <c r="G36" i="11"/>
  <c r="G39" i="11"/>
  <c r="G41" i="11"/>
  <c r="G21" i="9"/>
  <c r="G22" i="9"/>
  <c r="G7" i="9"/>
  <c r="J22" i="9"/>
  <c r="J7" i="9"/>
  <c r="H22" i="9"/>
  <c r="H7" i="9"/>
  <c r="C36" i="11"/>
  <c r="C39" i="11"/>
  <c r="C41" i="11"/>
  <c r="C21" i="9"/>
  <c r="C23" i="9"/>
  <c r="C22" i="9"/>
  <c r="C7" i="9"/>
  <c r="H35" i="9"/>
  <c r="N29" i="9"/>
  <c r="M29" i="9"/>
  <c r="I7" i="9"/>
  <c r="J32" i="11"/>
  <c r="J14" i="9"/>
  <c r="K36" i="11"/>
  <c r="K22" i="9"/>
  <c r="K7" i="9"/>
  <c r="M17" i="9"/>
  <c r="N17" i="9"/>
  <c r="B22" i="9"/>
  <c r="D22" i="9"/>
  <c r="D7" i="9"/>
  <c r="B32" i="11"/>
  <c r="B14" i="9"/>
  <c r="F39" i="9"/>
  <c r="F38" i="9"/>
  <c r="F37" i="9"/>
  <c r="F101" i="11"/>
  <c r="F22" i="9"/>
  <c r="F7" i="9"/>
  <c r="I16" i="11"/>
  <c r="I10" i="9"/>
  <c r="E16" i="11"/>
  <c r="E10" i="9"/>
  <c r="N10" i="9"/>
  <c r="M13" i="9"/>
  <c r="N13" i="9"/>
  <c r="J16" i="11"/>
  <c r="J10" i="9"/>
  <c r="H4" i="9"/>
  <c r="M4" i="9"/>
  <c r="N28" i="9"/>
  <c r="M28" i="9"/>
  <c r="B34" i="9"/>
  <c r="J36" i="11"/>
  <c r="J39" i="11"/>
  <c r="J41" i="11"/>
  <c r="J21" i="9"/>
  <c r="J23" i="9"/>
  <c r="D17" i="11"/>
  <c r="D11" i="9"/>
  <c r="D12" i="9"/>
  <c r="D18" i="9"/>
  <c r="D20" i="9"/>
  <c r="D24" i="9"/>
  <c r="J62" i="11"/>
  <c r="J64" i="11"/>
  <c r="M26" i="9"/>
  <c r="B32" i="9"/>
  <c r="N26" i="9"/>
  <c r="E22" i="9"/>
  <c r="E7" i="9"/>
  <c r="D38" i="9"/>
  <c r="D37" i="9"/>
  <c r="D39" i="9"/>
  <c r="D101" i="11"/>
  <c r="E37" i="9"/>
  <c r="E38" i="9"/>
  <c r="E39" i="9"/>
  <c r="E101" i="11"/>
  <c r="B37" i="9"/>
  <c r="B39" i="9"/>
  <c r="B101" i="11"/>
  <c r="C37" i="9"/>
  <c r="C38" i="9"/>
  <c r="C39" i="9"/>
  <c r="C101" i="11"/>
  <c r="B16" i="11"/>
  <c r="C16" i="11"/>
  <c r="I39" i="9"/>
  <c r="I37" i="9"/>
  <c r="I101" i="11"/>
  <c r="N30" i="9"/>
  <c r="M30" i="9"/>
  <c r="G39" i="9"/>
  <c r="G38" i="9"/>
  <c r="G37" i="9"/>
  <c r="G101" i="11"/>
  <c r="J37" i="9"/>
  <c r="J39" i="9"/>
  <c r="J101" i="11"/>
  <c r="K37" i="9"/>
  <c r="K38" i="9"/>
  <c r="K39" i="9"/>
  <c r="K101" i="11"/>
  <c r="K17" i="11"/>
  <c r="K11" i="9"/>
  <c r="K12" i="9"/>
  <c r="K18" i="9"/>
  <c r="K24" i="9"/>
  <c r="K20" i="9"/>
  <c r="K5" i="9"/>
  <c r="H16" i="11"/>
  <c r="H10" i="9"/>
  <c r="M27" i="9"/>
  <c r="N27" i="9"/>
  <c r="B33" i="9"/>
  <c r="K35" i="9"/>
  <c r="D35" i="9"/>
  <c r="E35" i="9"/>
  <c r="F16" i="11"/>
  <c r="F10" i="9"/>
  <c r="F35" i="9"/>
  <c r="G35" i="9"/>
  <c r="I62" i="11"/>
  <c r="I64" i="11"/>
  <c r="F62" i="11"/>
  <c r="F64" i="11"/>
  <c r="E62" i="11"/>
  <c r="C32" i="11"/>
  <c r="C14" i="9"/>
  <c r="K32" i="11"/>
  <c r="K14" i="9"/>
  <c r="D64" i="11"/>
  <c r="G62" i="11"/>
  <c r="G64" i="11"/>
  <c r="H62" i="11"/>
  <c r="H64" i="11"/>
  <c r="G32" i="11"/>
  <c r="G14" i="9"/>
  <c r="E64" i="11"/>
  <c r="D32" i="11"/>
  <c r="D14" i="9"/>
  <c r="D36" i="11"/>
  <c r="E36" i="11"/>
  <c r="E32" i="11"/>
  <c r="E14" i="9"/>
  <c r="K39" i="11"/>
  <c r="K41" i="11"/>
  <c r="K21" i="9"/>
  <c r="H36" i="11"/>
  <c r="H32" i="11"/>
  <c r="H14" i="9"/>
  <c r="G42" i="11"/>
  <c r="C42" i="11"/>
  <c r="F32" i="11"/>
  <c r="F14" i="9"/>
  <c r="F36" i="11"/>
  <c r="I42" i="11"/>
  <c r="J42" i="11"/>
  <c r="H24" i="1"/>
  <c r="N24" i="1"/>
  <c r="N23" i="1"/>
  <c r="N4" i="1"/>
  <c r="M6" i="1"/>
  <c r="M10" i="1"/>
  <c r="M12" i="1"/>
  <c r="M13" i="1"/>
  <c r="M15" i="1"/>
  <c r="H17" i="11"/>
  <c r="H11" i="9"/>
  <c r="H24" i="9"/>
  <c r="H20" i="9"/>
  <c r="H12" i="9"/>
  <c r="H18" i="9"/>
  <c r="H5" i="9"/>
  <c r="C17" i="11"/>
  <c r="C11" i="9"/>
  <c r="C12" i="9"/>
  <c r="C18" i="9"/>
  <c r="C20" i="9"/>
  <c r="C24" i="9"/>
  <c r="N39" i="9"/>
  <c r="M39" i="9"/>
  <c r="D5" i="9"/>
  <c r="M33" i="9"/>
  <c r="N33" i="9"/>
  <c r="I38" i="9"/>
  <c r="M32" i="9"/>
  <c r="N32" i="9"/>
  <c r="B35" i="9"/>
  <c r="M34" i="9"/>
  <c r="N34" i="9"/>
  <c r="E17" i="11"/>
  <c r="E11" i="9"/>
  <c r="E12" i="9"/>
  <c r="E18" i="9"/>
  <c r="E24" i="9"/>
  <c r="E20" i="9"/>
  <c r="E5" i="9"/>
  <c r="N4" i="9"/>
  <c r="M14" i="9"/>
  <c r="N14" i="9"/>
  <c r="M10" i="9"/>
  <c r="B17" i="11"/>
  <c r="B11" i="9"/>
  <c r="B12" i="9"/>
  <c r="B24" i="9"/>
  <c r="M37" i="9"/>
  <c r="N37" i="9"/>
  <c r="G17" i="11"/>
  <c r="G11" i="9"/>
  <c r="G20" i="9"/>
  <c r="G24" i="9"/>
  <c r="G12" i="9"/>
  <c r="G18" i="9"/>
  <c r="G5" i="9"/>
  <c r="I17" i="11"/>
  <c r="I11" i="9"/>
  <c r="I24" i="9"/>
  <c r="I20" i="9"/>
  <c r="I12" i="9"/>
  <c r="I18" i="9"/>
  <c r="I5" i="9"/>
  <c r="N6" i="1"/>
  <c r="M7" i="9"/>
  <c r="N7" i="9"/>
  <c r="F17" i="11"/>
  <c r="F11" i="9"/>
  <c r="F24" i="9"/>
  <c r="F20" i="9"/>
  <c r="F12" i="9"/>
  <c r="F18" i="9"/>
  <c r="F5" i="9"/>
  <c r="K23" i="9"/>
  <c r="J38" i="9"/>
  <c r="J17" i="11"/>
  <c r="J11" i="9"/>
  <c r="J12" i="9"/>
  <c r="J18" i="9"/>
  <c r="J20" i="9"/>
  <c r="J24" i="9"/>
  <c r="J5" i="9"/>
  <c r="M22" i="9"/>
  <c r="N22" i="9"/>
  <c r="G23" i="9"/>
  <c r="H39" i="11"/>
  <c r="H41" i="11"/>
  <c r="H21" i="9"/>
  <c r="H23" i="9"/>
  <c r="F39" i="11"/>
  <c r="F41" i="11"/>
  <c r="F21" i="9"/>
  <c r="F23" i="9"/>
  <c r="E42" i="11"/>
  <c r="E39" i="11"/>
  <c r="E41" i="11"/>
  <c r="E21" i="9"/>
  <c r="E23" i="9"/>
  <c r="K42" i="11"/>
  <c r="D39" i="11"/>
  <c r="D41" i="11"/>
  <c r="D21" i="9"/>
  <c r="D23" i="9"/>
  <c r="N10" i="1"/>
  <c r="N12" i="1"/>
  <c r="N13" i="1"/>
  <c r="N15" i="1"/>
  <c r="N5" i="1"/>
  <c r="M5" i="1"/>
  <c r="N20" i="9"/>
  <c r="M20" i="9"/>
  <c r="N24" i="9"/>
  <c r="M24" i="9"/>
  <c r="M12" i="9"/>
  <c r="N12" i="9"/>
  <c r="B18" i="9"/>
  <c r="M11" i="9"/>
  <c r="N11" i="9"/>
  <c r="M35" i="9"/>
  <c r="N35" i="9"/>
  <c r="N5" i="9"/>
  <c r="M5" i="9"/>
  <c r="D42" i="11"/>
  <c r="F42" i="11"/>
  <c r="H42" i="11"/>
  <c r="N18" i="9"/>
  <c r="M18" i="9"/>
  <c r="H14" i="19" l="1"/>
  <c r="K14" i="19" s="1"/>
  <c r="H15" i="19"/>
  <c r="K15" i="19" s="1"/>
  <c r="H16" i="19"/>
  <c r="K16" i="19"/>
  <c r="I10" i="19"/>
  <c r="H11" i="19"/>
  <c r="K11" i="19" s="1"/>
  <c r="C35" i="19"/>
  <c r="D35" i="19" s="1"/>
  <c r="E35" i="19" s="1"/>
  <c r="E34" i="19" s="1"/>
  <c r="J42" i="19" s="1"/>
  <c r="J43" i="19" s="1"/>
  <c r="I16" i="19"/>
  <c r="I19" i="19" s="1"/>
  <c r="H13" i="19"/>
  <c r="K13" i="19" s="1"/>
  <c r="H10" i="19"/>
  <c r="K10" i="19" s="1"/>
  <c r="J18" i="19"/>
  <c r="E33" i="19" s="1"/>
  <c r="H12" i="19"/>
  <c r="K12" i="19" s="1"/>
  <c r="B64" i="11"/>
  <c r="B38" i="9"/>
  <c r="M8" i="9"/>
  <c r="N8" i="9"/>
  <c r="B21" i="9"/>
  <c r="D34" i="19" l="1"/>
  <c r="I18" i="19"/>
  <c r="D33" i="19"/>
  <c r="D37" i="19" s="1"/>
  <c r="K18" i="19"/>
  <c r="K19" i="19"/>
  <c r="J32" i="19" s="1"/>
  <c r="E37" i="19"/>
  <c r="J33" i="19" s="1"/>
  <c r="J41" i="19"/>
  <c r="H18" i="19"/>
  <c r="H19" i="19"/>
  <c r="N38" i="9"/>
  <c r="M38" i="9"/>
  <c r="B23" i="9"/>
  <c r="M21" i="9"/>
  <c r="N21" i="9"/>
  <c r="J35" i="19" l="1"/>
  <c r="N23" i="9"/>
  <c r="M23" i="9"/>
</calcChain>
</file>

<file path=xl/sharedStrings.xml><?xml version="1.0" encoding="utf-8"?>
<sst xmlns="http://schemas.openxmlformats.org/spreadsheetml/2006/main" count="1090" uniqueCount="406">
  <si>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</si>
  <si>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</si>
  <si>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</si>
  <si>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</si>
  <si>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</si>
  <si>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</si>
  <si>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</si>
  <si>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</si>
  <si>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</si>
  <si>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</si>
  <si>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</si>
  <si>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</si>
  <si>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</si>
  <si>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</si>
  <si>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</si>
  <si>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</si>
  <si>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</si>
  <si>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</si>
  <si>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</si>
  <si>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</si>
  <si>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</si>
  <si>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</si>
  <si>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</si>
  <si>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</si>
  <si>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</si>
  <si>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</si>
  <si>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</si>
  <si>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</si>
  <si>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</si>
  <si>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</si>
  <si>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</si>
  <si>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</si>
  <si>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</si>
  <si>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</si>
  <si>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</si>
  <si>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</si>
  <si>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</si>
  <si>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</si>
  <si>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</si>
  <si>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</si>
  <si>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</si>
  <si>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</si>
  <si>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</si>
  <si>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</si>
  <si>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</si>
  <si>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</si>
  <si>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</si>
  <si>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</si>
  <si>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</si>
  <si>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</si>
  <si>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</si>
  <si>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</si>
  <si>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</si>
  <si>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</si>
  <si>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</si>
  <si>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</si>
  <si>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</si>
  <si>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</si>
  <si>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</si>
  <si>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</si>
  <si>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</si>
  <si>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</si>
  <si>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</si>
  <si>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NESTLE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</si>
  <si>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</si>
  <si>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</si>
  <si>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</si>
  <si>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</si>
  <si>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</si>
  <si>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</si>
  <si>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</si>
  <si>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</si>
  <si>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</si>
  <si>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</si>
  <si>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</si>
  <si>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</si>
  <si>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</si>
  <si>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</si>
  <si>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</si>
  <si>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</si>
  <si>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</si>
  <si>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</si>
  <si>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</si>
  <si>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</si>
  <si>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</si>
  <si>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</si>
  <si>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</si>
  <si>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</si>
  <si>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</si>
  <si>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</si>
  <si>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</si>
  <si>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</si>
  <si>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</si>
  <si>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</si>
  <si>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INCOME STATEMENT</t>
  </si>
  <si>
    <t>SALES GROWTH</t>
  </si>
  <si>
    <t>COGS</t>
  </si>
  <si>
    <t>COGS % SALES</t>
  </si>
  <si>
    <t>GROSS PROFIT</t>
  </si>
  <si>
    <t>SELLING AND GEN. EXP</t>
  </si>
  <si>
    <t>S &amp; G % SALES</t>
  </si>
  <si>
    <t>EBITDA</t>
  </si>
  <si>
    <t>EBITDA MARGIN</t>
  </si>
  <si>
    <t>INTEREST</t>
  </si>
  <si>
    <t>INTEREST % SALES</t>
  </si>
  <si>
    <t>DEPRICIATION</t>
  </si>
  <si>
    <t>DEP % SALES</t>
  </si>
  <si>
    <t>EARNING BEFORE TAX</t>
  </si>
  <si>
    <t>EBT % SALES</t>
  </si>
  <si>
    <t>TAX</t>
  </si>
  <si>
    <t>EFFECTIVE TAX RATE</t>
  </si>
  <si>
    <t>NET PROFIT</t>
  </si>
  <si>
    <t>NET MARGIN</t>
  </si>
  <si>
    <t>DPS</t>
  </si>
  <si>
    <t>DPS RATIO</t>
  </si>
  <si>
    <t>RETAINED EARNING</t>
  </si>
  <si>
    <t>Total Liabilities</t>
  </si>
  <si>
    <t>Fixed Asset Net Block</t>
  </si>
  <si>
    <t>Total Non Current Assets</t>
  </si>
  <si>
    <t>Total Current Assets</t>
  </si>
  <si>
    <t>Total Assets</t>
  </si>
  <si>
    <t>CASH FLOW STATEMENT</t>
  </si>
  <si>
    <t>Operating Activities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</si>
  <si>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</si>
  <si>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</si>
  <si>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</si>
  <si>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</si>
  <si>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</si>
  <si>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</si>
  <si>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</si>
  <si>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</si>
  <si>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</si>
  <si>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</si>
  <si>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</si>
  <si>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</si>
  <si>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</si>
  <si>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</si>
  <si>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</si>
  <si>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</si>
  <si>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</si>
  <si>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</si>
  <si>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</si>
  <si>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</si>
  <si>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</si>
  <si>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Financing Activities</t>
  </si>
  <si>
    <t>EBITDA Growth</t>
  </si>
  <si>
    <t>EBIT Growth</t>
  </si>
  <si>
    <t>Net Profit Growth</t>
  </si>
  <si>
    <t>Historical Financial Data - TATA MOTORS LTD</t>
  </si>
  <si>
    <t xml:space="preserve">SALES </t>
  </si>
  <si>
    <t xml:space="preserve"> GROSS PROFIT MARGIN</t>
  </si>
  <si>
    <t xml:space="preserve">No. of Equity Shareholders Outstanding </t>
  </si>
  <si>
    <t xml:space="preserve">EPS GROWTH </t>
  </si>
  <si>
    <t xml:space="preserve">CHECK </t>
  </si>
  <si>
    <t xml:space="preserve">Cash From Operating Activities </t>
  </si>
  <si>
    <t xml:space="preserve">Investing Activities </t>
  </si>
  <si>
    <t xml:space="preserve">Cash From Investing Activities </t>
  </si>
  <si>
    <r>
      <t>Financing Activities</t>
    </r>
    <r>
      <rPr>
        <sz val="11"/>
        <color rgb="FF000000"/>
        <rFont val="Calibri"/>
        <family val="2"/>
        <scheme val="minor"/>
      </rPr>
      <t xml:space="preserve"> </t>
    </r>
  </si>
  <si>
    <t xml:space="preserve">Net Cash Flow </t>
  </si>
  <si>
    <t xml:space="preserve">Ratio Analysis-TATA MOTORS LTD </t>
  </si>
  <si>
    <t xml:space="preserve">Dividend Growth </t>
  </si>
  <si>
    <t>Gross Margin</t>
  </si>
  <si>
    <t>EBITDA Margin</t>
  </si>
  <si>
    <t>EBIT Margin</t>
  </si>
  <si>
    <t>EBT Margin</t>
  </si>
  <si>
    <t>Net Profit Margin</t>
  </si>
  <si>
    <t>Sales Expenses % Sales</t>
  </si>
  <si>
    <t xml:space="preserve">Depriciation %  Sales </t>
  </si>
  <si>
    <t xml:space="preserve">Operating Income % Sales </t>
  </si>
  <si>
    <t xml:space="preserve">Return on Capital Employed </t>
  </si>
  <si>
    <t>Retained Earning %</t>
  </si>
  <si>
    <t>Return on Equity %</t>
  </si>
  <si>
    <t>Self Sustained Growth Rate</t>
  </si>
  <si>
    <t>Interest Coverage Ratio</t>
  </si>
  <si>
    <t>Debtor Turnover Ratio</t>
  </si>
  <si>
    <t>Creditor Turnover Ratio</t>
  </si>
  <si>
    <t xml:space="preserve"> Inventory Turnover Ratio</t>
  </si>
  <si>
    <t>Fixed Asset Turnover</t>
  </si>
  <si>
    <t>Capital Turnover</t>
  </si>
  <si>
    <t>Payable Days</t>
  </si>
  <si>
    <t>Inventory Days</t>
  </si>
  <si>
    <t>Cash Conversion Cycle</t>
  </si>
  <si>
    <t>CFO/SALES</t>
  </si>
  <si>
    <t>CFO/TOTAL ASSETS</t>
  </si>
  <si>
    <t>CFO/TOTAL DEBT</t>
  </si>
  <si>
    <t>Cash Flows</t>
  </si>
  <si>
    <t>Standalone Figures in Rs. Crores / View Consolidated</t>
  </si>
  <si>
    <r>
      <t>Cash from Operating Activity </t>
    </r>
    <r>
      <rPr>
        <sz val="11"/>
        <color rgb="FF665EFD"/>
        <rFont val="Arial"/>
        <family val="2"/>
      </rPr>
      <t>-</t>
    </r>
  </si>
  <si>
    <t>Operating borrowings</t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</si>
  <si>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</si>
  <si>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</si>
  <si>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Investment subsidy</t>
  </si>
  <si>
    <t>Free Cash Flow</t>
  </si>
  <si>
    <t>CFO/OP</t>
  </si>
  <si>
    <t>Mean</t>
  </si>
  <si>
    <t>Median</t>
  </si>
  <si>
    <r>
      <t>Mar 2016 </t>
    </r>
    <r>
      <rPr>
        <sz val="9.6"/>
        <color rgb="FF606F7B"/>
        <rFont val="Arial"/>
        <family val="2"/>
      </rPr>
      <t>9m</t>
    </r>
  </si>
  <si>
    <r>
      <t>Sales </t>
    </r>
    <r>
      <rPr>
        <sz val="11"/>
        <color rgb="FF665EFD"/>
        <rFont val="Arial"/>
        <family val="2"/>
      </rPr>
      <t>+</t>
    </r>
  </si>
  <si>
    <t>Year weight</t>
  </si>
  <si>
    <t>year</t>
  </si>
  <si>
    <t>sales Growth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</si>
  <si>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</si>
  <si>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</si>
  <si>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</si>
  <si>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</si>
  <si>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</si>
  <si>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</si>
  <si>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</si>
  <si>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</si>
  <si>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</si>
  <si>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</si>
  <si>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</si>
  <si>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</si>
  <si>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</si>
  <si>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</si>
  <si>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</si>
  <si>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</si>
  <si>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</si>
  <si>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</si>
  <si>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</si>
  <si>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</si>
  <si>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</si>
  <si>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</si>
  <si>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</si>
  <si>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 xml:space="preserve">Arithmetic Mean </t>
  </si>
  <si>
    <t>Gemotric Mean</t>
  </si>
  <si>
    <t>Standard deviation</t>
  </si>
  <si>
    <t>Date</t>
  </si>
  <si>
    <t>Change %</t>
  </si>
  <si>
    <t>Feb 01, 2026</t>
  </si>
  <si>
    <t>NESTLE LTD</t>
  </si>
  <si>
    <t>Apr 19, 2026</t>
  </si>
  <si>
    <t>Apr 12, 2026</t>
  </si>
  <si>
    <t>Apr 05, 2026</t>
  </si>
  <si>
    <t>Mar 29, 2026</t>
  </si>
  <si>
    <t>Mar 22, 2026</t>
  </si>
  <si>
    <t>Mar 15, 2026</t>
  </si>
  <si>
    <t>Mar 08, 2026</t>
  </si>
  <si>
    <t>Mar 01, 2026</t>
  </si>
  <si>
    <t>Feb 22, 2026</t>
  </si>
  <si>
    <t>Feb 15, 2026</t>
  </si>
  <si>
    <t>Feb 08, 2026</t>
  </si>
  <si>
    <t>Jan 25, 2026</t>
  </si>
  <si>
    <t>Jan 18, 2026</t>
  </si>
  <si>
    <t>Jan 11, 2026</t>
  </si>
  <si>
    <t>Jan 04, 2026</t>
  </si>
  <si>
    <t>Dec 28, 2025</t>
  </si>
  <si>
    <t>Dec 21, 2025</t>
  </si>
  <si>
    <t>Dec 14, 2025</t>
  </si>
  <si>
    <t>Dec 07, 2025</t>
  </si>
  <si>
    <t>Nov 30, 2025</t>
  </si>
  <si>
    <t>Nov 23, 2025</t>
  </si>
  <si>
    <t>Nov 16, 2025</t>
  </si>
  <si>
    <t>Nov 09, 2025</t>
  </si>
  <si>
    <t>Nov 02, 2025</t>
  </si>
  <si>
    <t>Oct 26, 2025</t>
  </si>
  <si>
    <t>Oct 19, 2025</t>
  </si>
  <si>
    <t>Oct 12, 2025</t>
  </si>
  <si>
    <t>Oct 05, 2025</t>
  </si>
  <si>
    <t>Sep 28, 2025</t>
  </si>
  <si>
    <t>Sep 21, 2025</t>
  </si>
  <si>
    <t>Sep 14, 2025</t>
  </si>
  <si>
    <t>Sep 07, 2025</t>
  </si>
  <si>
    <t>Aug 31, 2025</t>
  </si>
  <si>
    <t>Aug 24, 2025</t>
  </si>
  <si>
    <t>Aug 17, 2025</t>
  </si>
  <si>
    <t>Aug 10, 2025</t>
  </si>
  <si>
    <t>Aug 03, 2025</t>
  </si>
  <si>
    <t>Jul 27, 2025</t>
  </si>
  <si>
    <t>Jul 20, 2025</t>
  </si>
  <si>
    <t>Jul 13, 2025</t>
  </si>
  <si>
    <t>Jul 06, 2025</t>
  </si>
  <si>
    <t>Jun 29, 2025</t>
  </si>
  <si>
    <t>Jun 22, 2025</t>
  </si>
  <si>
    <t>Jun 15, 2025</t>
  </si>
  <si>
    <t>Jun 08, 2025</t>
  </si>
  <si>
    <t>Jun 01, 2025</t>
  </si>
  <si>
    <t>May 25, 2025</t>
  </si>
  <si>
    <t>May 18, 2025</t>
  </si>
  <si>
    <t>May 11, 2025</t>
  </si>
  <si>
    <t>May 04, 2025</t>
  </si>
  <si>
    <t>Apr 27, 2025</t>
  </si>
  <si>
    <t>Apr 20, 2025</t>
  </si>
  <si>
    <t>Apr 13, 2025</t>
  </si>
  <si>
    <t>Apr 06, 2025</t>
  </si>
  <si>
    <t>Mar 30, 2025</t>
  </si>
  <si>
    <t>Mar 23, 2025</t>
  </si>
  <si>
    <t>Mar 16, 2025</t>
  </si>
  <si>
    <t>Mar 09, 2025</t>
  </si>
  <si>
    <t>Mar 02, 2025</t>
  </si>
  <si>
    <t>Feb 23, 2025</t>
  </si>
  <si>
    <t>Feb 16, 2025</t>
  </si>
  <si>
    <t>Feb 09, 2025</t>
  </si>
  <si>
    <t>Feb 02, 2025</t>
  </si>
  <si>
    <t>Jan 26, 2025</t>
  </si>
  <si>
    <t>Jan 19, 2025</t>
  </si>
  <si>
    <t>Jan 12, 2025</t>
  </si>
  <si>
    <t>Jan 05, 2025</t>
  </si>
  <si>
    <t>Dec 29, 2024</t>
  </si>
  <si>
    <t>Dec 22, 2024</t>
  </si>
  <si>
    <t>Dec 15, 2024</t>
  </si>
  <si>
    <t>Dec 08, 2024</t>
  </si>
  <si>
    <t>Dec 01, 2024</t>
  </si>
  <si>
    <t>Nov 24, 2024</t>
  </si>
  <si>
    <t>Nov 17, 2024</t>
  </si>
  <si>
    <t>Nov 10, 2024</t>
  </si>
  <si>
    <t>Nov 03, 2024</t>
  </si>
  <si>
    <t>Oct 27, 2024</t>
  </si>
  <si>
    <t>Oct 20, 2024</t>
  </si>
  <si>
    <t>Oct 13, 2024</t>
  </si>
  <si>
    <t>Oct 06, 2024</t>
  </si>
  <si>
    <t>Sep 29, 2024</t>
  </si>
  <si>
    <t>Sep 22, 2024</t>
  </si>
  <si>
    <t>Sep 15, 2024</t>
  </si>
  <si>
    <t>Sep 08, 2024</t>
  </si>
  <si>
    <t>Sep 01, 2024</t>
  </si>
  <si>
    <t>Aug 25, 2024</t>
  </si>
  <si>
    <t>Aug 18, 2024</t>
  </si>
  <si>
    <t>Aug 11, 2024</t>
  </si>
  <si>
    <t>Aug 04, 2024</t>
  </si>
  <si>
    <t>Jul 28, 2024</t>
  </si>
  <si>
    <t>Jul 21, 2024</t>
  </si>
  <si>
    <t>Jul 14, 2024</t>
  </si>
  <si>
    <t>Jul 07, 2024</t>
  </si>
  <si>
    <t>Jun 30, 2024</t>
  </si>
  <si>
    <t>Jun 23, 2024</t>
  </si>
  <si>
    <t>Jun 16, 2024</t>
  </si>
  <si>
    <t>Jun 09, 2024</t>
  </si>
  <si>
    <t>Jun 02, 2024</t>
  </si>
  <si>
    <t>May 26, 2024</t>
  </si>
  <si>
    <t>May 19, 2024</t>
  </si>
  <si>
    <t>May 12, 2024</t>
  </si>
  <si>
    <t>May 05, 2024</t>
  </si>
  <si>
    <t>Apr 28, 2024</t>
  </si>
  <si>
    <t>NIFTY50</t>
  </si>
  <si>
    <t>Return</t>
  </si>
  <si>
    <t>X Variable 1</t>
  </si>
  <si>
    <t>S.No.</t>
  </si>
  <si>
    <t>Name</t>
  </si>
  <si>
    <r>
      <t>CMP </t>
    </r>
    <r>
      <rPr>
        <sz val="11"/>
        <color rgb="FF737373"/>
        <rFont val="Arial"/>
        <family val="2"/>
      </rPr>
      <t>Rs.</t>
    </r>
  </si>
  <si>
    <t>P/E</t>
  </si>
  <si>
    <r>
      <t>Mar Cap </t>
    </r>
    <r>
      <rPr>
        <sz val="11"/>
        <color rgb="FF737373"/>
        <rFont val="Arial"/>
        <family val="2"/>
      </rPr>
      <t>Rs.Cr.</t>
    </r>
  </si>
  <si>
    <r>
      <t>Div Yld </t>
    </r>
    <r>
      <rPr>
        <sz val="11"/>
        <color rgb="FF737373"/>
        <rFont val="Arial"/>
        <family val="2"/>
      </rPr>
      <t>%</t>
    </r>
  </si>
  <si>
    <r>
      <t>NP Qtr </t>
    </r>
    <r>
      <rPr>
        <sz val="11"/>
        <color rgb="FF737373"/>
        <rFont val="Arial"/>
        <family val="2"/>
      </rPr>
      <t>Rs.Cr.</t>
    </r>
  </si>
  <si>
    <r>
      <t>Qtr Profit Var </t>
    </r>
    <r>
      <rPr>
        <sz val="11"/>
        <color rgb="FF737373"/>
        <rFont val="Arial"/>
        <family val="2"/>
      </rPr>
      <t>%</t>
    </r>
  </si>
  <si>
    <r>
      <t>Sales Qtr </t>
    </r>
    <r>
      <rPr>
        <sz val="11"/>
        <color rgb="FF737373"/>
        <rFont val="Arial"/>
        <family val="2"/>
      </rPr>
      <t>Rs.Cr.</t>
    </r>
  </si>
  <si>
    <r>
      <t>Qtr Sales Var </t>
    </r>
    <r>
      <rPr>
        <sz val="11"/>
        <color rgb="FF737373"/>
        <rFont val="Arial"/>
        <family val="2"/>
      </rPr>
      <t>%</t>
    </r>
  </si>
  <si>
    <r>
      <t>ROCE </t>
    </r>
    <r>
      <rPr>
        <sz val="11"/>
        <color rgb="FF737373"/>
        <rFont val="Arial"/>
        <family val="2"/>
      </rPr>
      <t>%</t>
    </r>
  </si>
  <si>
    <t>Nestle India</t>
  </si>
  <si>
    <t>Britannia Inds.</t>
  </si>
  <si>
    <t>Bikaji Foods</t>
  </si>
  <si>
    <t>Zydus Wellness</t>
  </si>
  <si>
    <t>The Bombay Burmah</t>
  </si>
  <si>
    <t>Mrs Bectors</t>
  </si>
  <si>
    <t>Gopal Snacks</t>
  </si>
  <si>
    <t>Median: 25 Co.</t>
  </si>
  <si>
    <t>Peer comparison</t>
  </si>
  <si>
    <t>slope</t>
  </si>
  <si>
    <t>Beta</t>
  </si>
  <si>
    <t>Reurn</t>
  </si>
  <si>
    <t>BRITANNIA INDS.</t>
  </si>
  <si>
    <t>BIKAJI FOODS</t>
  </si>
  <si>
    <t>Slope</t>
  </si>
  <si>
    <t>Zydus Wellnes</t>
  </si>
  <si>
    <t>The opening price for Bikaji Foods International today was 684.10.</t>
  </si>
  <si>
    <t>Not In NSE</t>
  </si>
  <si>
    <t>Gopal Snacks Ltd</t>
  </si>
  <si>
    <t>Weighted Average Cost of Capital</t>
  </si>
  <si>
    <t>Peer Comps.</t>
  </si>
  <si>
    <t>Name of the Company</t>
  </si>
  <si>
    <t xml:space="preserve">Country </t>
  </si>
  <si>
    <t xml:space="preserve">Total Debt </t>
  </si>
  <si>
    <t xml:space="preserve">Total Equity </t>
  </si>
  <si>
    <t xml:space="preserve">All figure are in INR unless otherwise started tax </t>
  </si>
  <si>
    <t>Tax Rate</t>
  </si>
  <si>
    <t>Debt / Equity</t>
  </si>
  <si>
    <t>Debt / Capital</t>
  </si>
  <si>
    <t xml:space="preserve">Levered Beta </t>
  </si>
  <si>
    <t xml:space="preserve">India </t>
  </si>
  <si>
    <t>Unlevered Beta</t>
  </si>
  <si>
    <t>Average</t>
  </si>
  <si>
    <t xml:space="preserve">Cost of Debt </t>
  </si>
  <si>
    <t>Cost of Equity</t>
  </si>
  <si>
    <t xml:space="preserve">Pre-tax Cost of Debt </t>
  </si>
  <si>
    <t xml:space="preserve">Tax Rate </t>
  </si>
  <si>
    <t>Profit Tax Cost of Debt</t>
  </si>
  <si>
    <t xml:space="preserve">Risk free rate </t>
  </si>
  <si>
    <t>Equity Risk Premium</t>
  </si>
  <si>
    <t xml:space="preserve">Leveraged Beta </t>
  </si>
  <si>
    <t>Coat of Equity</t>
  </si>
  <si>
    <t>Capital Structure</t>
  </si>
  <si>
    <t>Current</t>
  </si>
  <si>
    <t>Target</t>
  </si>
  <si>
    <t>Total Debt</t>
  </si>
  <si>
    <t>Total Capital</t>
  </si>
  <si>
    <t>Comps Median Unlevered Beta</t>
  </si>
  <si>
    <t>Target. Debt/Equity</t>
  </si>
  <si>
    <t>Debt /Equity</t>
  </si>
  <si>
    <t xml:space="preserve">Total cost </t>
  </si>
  <si>
    <t xml:space="preserve">total weight </t>
  </si>
  <si>
    <t xml:space="preserve">Debt </t>
  </si>
  <si>
    <t>Equity</t>
  </si>
  <si>
    <t xml:space="preserve">Weighted Average cost of Capital </t>
  </si>
  <si>
    <t xml:space="preserve">Average Return </t>
  </si>
  <si>
    <t>Dividend Yield</t>
  </si>
  <si>
    <t xml:space="preserve">Market return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</si>
</sst>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₹&quot;* #,##0.00_);_(&quot;₹&quot;* \(#,##0.00\);_(&quot;₹&quot;* &quot;-&quot;??_);_(@_)"/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#,##0;[Red]\(\-#,##0\)"/>
    <numFmt numFmtId="167" formatCode="&quot;₹&quot;#,##0.00"/>
    <numFmt numFmtId="168" formatCode="0.00\x"/>
    <numFmt numFmtId="169" formatCode="0.00\ &quot;days&quot;"/>
    <numFmt numFmtId="170" formatCode="0\ &quot;days&quot;"/>
    <numFmt numFmtId="171" formatCode="yyyy\ \A"/>
    <numFmt numFmtId="172" formatCode="yyyy\ \F"/>
    <numFmt numFmtId="173" formatCode="yyyy"/>
  </numFmts>
  <fonts count="5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i/>
      <sz val="11"/>
      <color rgb="FF464646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11"/>
      <color rgb="FF22222F"/>
      <name val="Arial"/>
      <family val="2"/>
    </font>
    <font>
      <b/>
      <sz val="11"/>
      <color rgb="FF22222F"/>
      <name val="Arial"/>
      <family val="2"/>
    </font>
    <font>
      <sz val="11"/>
      <color rgb="FF606F7B"/>
      <name val="Arial"/>
      <family val="2"/>
    </font>
    <font>
      <sz val="11"/>
      <color rgb="FFFF0000"/>
      <name val="Calibri"/>
      <family val="2"/>
      <scheme val="minor"/>
    </font>
    <font>
      <sz val="18"/>
      <color rgb="FF22222F"/>
      <name val="Arial"/>
      <family val="2"/>
    </font>
    <font>
      <sz val="11"/>
      <color rgb="FF606F7B"/>
      <name val="Arial"/>
      <family val="2"/>
    </font>
    <font>
      <sz val="11"/>
      <color theme="1"/>
      <name val="Arial"/>
      <family val="2"/>
    </font>
    <font>
      <sz val="11"/>
      <color rgb="FF665EFD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9.6"/>
      <color rgb="FF606F7B"/>
      <name val="Arial"/>
      <family val="2"/>
    </font>
    <font>
      <i/>
      <sz val="11"/>
      <color theme="1"/>
      <name val="Calibri"/>
      <family val="2"/>
      <scheme val="minor"/>
    </font>
    <font>
      <sz val="11"/>
      <color rgb="FF232526"/>
      <name val="Helvetica"/>
      <family val="2"/>
    </font>
    <font>
      <sz val="11"/>
      <color rgb="FF007C32"/>
      <name val="Helvetica"/>
      <family val="2"/>
    </font>
    <font>
      <sz val="11"/>
      <color rgb="FF232526"/>
      <name val="Helvetica"/>
      <family val="2"/>
    </font>
    <font>
      <b/>
      <sz val="11"/>
      <color rgb="FF007C32"/>
      <name val="Helvetica"/>
      <family val="2"/>
    </font>
    <font>
      <sz val="11"/>
      <color rgb="FFD91400"/>
      <name val="Helvetica"/>
      <family val="2"/>
    </font>
    <font>
      <b/>
      <sz val="11"/>
      <color rgb="FFD91400"/>
      <name val="Helvetica"/>
      <family val="2"/>
    </font>
    <font>
      <sz val="11"/>
      <color rgb="FF606F7B"/>
      <name val="Arial"/>
      <family val="2"/>
    </font>
    <font>
      <sz val="11"/>
      <color rgb="FF737373"/>
      <name val="Arial"/>
      <family val="2"/>
    </font>
    <font>
      <sz val="11"/>
      <color rgb="FF22222F"/>
      <name val="Arial"/>
      <family val="2"/>
    </font>
    <font>
      <sz val="18"/>
      <color rgb="FF22222F"/>
      <name val="Arial"/>
      <family val="2"/>
    </font>
    <font>
      <sz val="11"/>
      <color rgb="FF0070C0"/>
      <name val="Calibri"/>
      <family val="2"/>
      <scheme val="minor"/>
    </font>
    <font>
      <u/>
      <sz val="11"/>
      <color theme="6" tint="-0.249977111117893"/>
      <name val="Calibri"/>
      <family val="2"/>
    </font>
    <font>
      <sz val="11"/>
      <color rgb="FF00B0F0"/>
      <name val="Calibri"/>
      <family val="2"/>
      <scheme val="minor"/>
    </font>
    <font>
      <sz val="11"/>
      <color rgb="FF00B0F0"/>
      <name val="Helvetica"/>
      <family val="2"/>
    </font>
    <font>
      <b/>
      <sz val="11"/>
      <color rgb="FF00B0F0"/>
      <name val="Calibri"/>
      <family val="2"/>
      <scheme val="minor"/>
    </font>
    <font>
      <sz val="14"/>
      <color rgb="FF232526"/>
      <name val="Helvetica"/>
      <family val="2"/>
    </font>
    <font>
      <sz val="14"/>
      <color rgb="FF000000"/>
      <name val="Helvetica"/>
      <family val="2"/>
    </font>
    <font>
      <sz val="14"/>
      <color rgb="FF000000"/>
      <name val="Helvetica"/>
      <family val="2"/>
    </font>
    <font>
      <b/>
      <sz val="18"/>
      <color rgb="FF232526"/>
      <name val="Helvetica"/>
      <family val="2"/>
    </font>
    <font>
      <b/>
      <sz val="13.5"/>
      <color rgb="FF232526"/>
      <name val="Helvetica"/>
      <family val="2"/>
    </font>
    <font>
      <sz val="11"/>
      <color theme="5"/>
      <name val="Calibri"/>
      <family val="2"/>
      <scheme val="minor"/>
    </font>
    <font>
      <b/>
      <sz val="11"/>
      <name val="Helvetica"/>
      <family val="2"/>
    </font>
    <font>
      <u/>
      <sz val="11"/>
      <color theme="5" tint="-0.249977111117893"/>
      <name val="Calibri"/>
      <family val="2"/>
    </font>
    <font>
      <sz val="14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14">
    <xf numFmtId="0" fontId="0" fillId="0" borderId="0" xfId="0"/>
    <xf numFmtId="164" fontId="1" fillId="0" borderId="0" xfId="1" applyFont="1" applyBorder="1"/>
    <xf numFmtId="0" fontId="1" fillId="0" borderId="0" xfId="0" applyFont="1"/>
    <xf numFmtId="0" fontId="8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43" fontId="0" fillId="0" borderId="0" xfId="1" applyNumberFormat="1" applyFont="1" applyBorder="1"/>
    <xf numFmtId="0" fontId="12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0" fillId="6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166" fontId="12" fillId="8" borderId="0" xfId="0" applyNumberFormat="1" applyFont="1" applyFill="1"/>
    <xf numFmtId="0" fontId="15" fillId="0" borderId="0" xfId="0" applyFont="1"/>
    <xf numFmtId="0" fontId="16" fillId="0" borderId="0" xfId="0" applyFont="1"/>
    <xf numFmtId="0" fontId="12" fillId="8" borderId="0" xfId="0" applyFont="1" applyFill="1"/>
    <xf numFmtId="0" fontId="17" fillId="9" borderId="0" xfId="0" applyFont="1" applyFill="1" applyAlignment="1">
      <alignment horizontal="left" vertical="center"/>
    </xf>
    <xf numFmtId="0" fontId="18" fillId="9" borderId="0" xfId="0" applyFont="1" applyFill="1" applyAlignment="1">
      <alignment horizontal="left" vertical="center"/>
    </xf>
    <xf numFmtId="0" fontId="11" fillId="0" borderId="2" xfId="0" applyFont="1" applyBorder="1"/>
    <xf numFmtId="0" fontId="19" fillId="0" borderId="0" xfId="0" applyFont="1"/>
    <xf numFmtId="167" fontId="0" fillId="0" borderId="0" xfId="0" applyNumberFormat="1"/>
    <xf numFmtId="44" fontId="0" fillId="0" borderId="0" xfId="7" applyFont="1"/>
    <xf numFmtId="44" fontId="0" fillId="0" borderId="1" xfId="7" applyFont="1" applyBorder="1"/>
    <xf numFmtId="167" fontId="0" fillId="0" borderId="0" xfId="7" applyNumberFormat="1" applyFont="1"/>
    <xf numFmtId="167" fontId="20" fillId="0" borderId="1" xfId="7" applyNumberFormat="1" applyFont="1" applyBorder="1"/>
    <xf numFmtId="167" fontId="0" fillId="0" borderId="3" xfId="7" applyNumberFormat="1" applyFont="1" applyBorder="1"/>
    <xf numFmtId="167" fontId="20" fillId="0" borderId="1" xfId="0" applyNumberFormat="1" applyFont="1" applyBorder="1"/>
    <xf numFmtId="0" fontId="21" fillId="0" borderId="0" xfId="0" applyFont="1"/>
    <xf numFmtId="0" fontId="4" fillId="0" borderId="0" xfId="2" applyAlignment="1" applyProtection="1"/>
    <xf numFmtId="0" fontId="22" fillId="0" borderId="0" xfId="0" applyFont="1"/>
    <xf numFmtId="17" fontId="22" fillId="0" borderId="0" xfId="0" applyNumberFormat="1" applyFont="1"/>
    <xf numFmtId="0" fontId="23" fillId="0" borderId="0" xfId="0" applyFont="1"/>
    <xf numFmtId="3" fontId="23" fillId="0" borderId="0" xfId="0" applyNumberFormat="1" applyFont="1"/>
    <xf numFmtId="0" fontId="25" fillId="0" borderId="0" xfId="0" applyFont="1"/>
    <xf numFmtId="3" fontId="25" fillId="0" borderId="0" xfId="0" applyNumberFormat="1" applyFont="1"/>
    <xf numFmtId="3" fontId="19" fillId="0" borderId="0" xfId="0" applyNumberFormat="1" applyFont="1"/>
    <xf numFmtId="9" fontId="19" fillId="0" borderId="0" xfId="0" applyNumberFormat="1" applyFont="1"/>
    <xf numFmtId="167" fontId="20" fillId="0" borderId="0" xfId="0" applyNumberFormat="1" applyFon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9" fontId="0" fillId="0" borderId="0" xfId="6" applyFont="1"/>
    <xf numFmtId="17" fontId="19" fillId="0" borderId="0" xfId="0" applyNumberFormat="1" applyFont="1"/>
    <xf numFmtId="0" fontId="17" fillId="0" borderId="0" xfId="0" applyFont="1"/>
    <xf numFmtId="2" fontId="17" fillId="0" borderId="0" xfId="0" applyNumberFormat="1" applyFont="1"/>
    <xf numFmtId="3" fontId="17" fillId="0" borderId="0" xfId="0" applyNumberFormat="1" applyFont="1"/>
    <xf numFmtId="0" fontId="0" fillId="10" borderId="0" xfId="0" applyFill="1"/>
    <xf numFmtId="171" fontId="0" fillId="0" borderId="0" xfId="0" applyNumberFormat="1"/>
    <xf numFmtId="2" fontId="0" fillId="0" borderId="0" xfId="0" applyNumberFormat="1"/>
    <xf numFmtId="0" fontId="28" fillId="0" borderId="4" xfId="0" applyFont="1" applyBorder="1" applyAlignment="1">
      <alignment horizontal="centerContinuous"/>
    </xf>
    <xf numFmtId="0" fontId="0" fillId="0" borderId="5" xfId="0" applyBorder="1"/>
    <xf numFmtId="172" fontId="0" fillId="0" borderId="0" xfId="0" applyNumberFormat="1"/>
    <xf numFmtId="0" fontId="28" fillId="0" borderId="4" xfId="0" applyFont="1" applyBorder="1" applyAlignment="1">
      <alignment horizontal="center"/>
    </xf>
    <xf numFmtId="173" fontId="0" fillId="0" borderId="0" xfId="0" applyNumberFormat="1"/>
    <xf numFmtId="0" fontId="29" fillId="0" borderId="0" xfId="0" applyFont="1"/>
    <xf numFmtId="4" fontId="30" fillId="0" borderId="0" xfId="0" applyNumberFormat="1" applyFont="1"/>
    <xf numFmtId="4" fontId="31" fillId="0" borderId="0" xfId="0" applyNumberFormat="1" applyFont="1"/>
    <xf numFmtId="0" fontId="31" fillId="0" borderId="0" xfId="0" applyFont="1"/>
    <xf numFmtId="10" fontId="32" fillId="0" borderId="0" xfId="0" applyNumberFormat="1" applyFont="1"/>
    <xf numFmtId="4" fontId="33" fillId="0" borderId="0" xfId="0" applyNumberFormat="1" applyFont="1"/>
    <xf numFmtId="10" fontId="34" fillId="0" borderId="0" xfId="0" applyNumberFormat="1" applyFont="1"/>
    <xf numFmtId="0" fontId="35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2" applyFont="1" applyAlignment="1" applyProtection="1"/>
    <xf numFmtId="0" fontId="41" fillId="0" borderId="0" xfId="0" applyFont="1"/>
    <xf numFmtId="0" fontId="30" fillId="0" borderId="0" xfId="0" applyFont="1"/>
    <xf numFmtId="0" fontId="33" fillId="0" borderId="0" xfId="0" applyFont="1"/>
    <xf numFmtId="10" fontId="31" fillId="0" borderId="0" xfId="0" applyNumberFormat="1" applyFont="1"/>
    <xf numFmtId="4" fontId="42" fillId="0" borderId="0" xfId="0" applyNumberFormat="1" applyFont="1"/>
    <xf numFmtId="0" fontId="43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4" fillId="0" borderId="0" xfId="0" applyFont="1"/>
    <xf numFmtId="4" fontId="46" fillId="0" borderId="0" xfId="0" applyNumberFormat="1" applyFont="1"/>
    <xf numFmtId="0" fontId="49" fillId="0" borderId="0" xfId="0" applyFont="1"/>
    <xf numFmtId="0" fontId="50" fillId="0" borderId="0" xfId="0" applyFont="1"/>
    <xf numFmtId="0" fontId="51" fillId="0" borderId="0" xfId="2" applyFont="1" applyAlignment="1" applyProtection="1"/>
    <xf numFmtId="1" fontId="37" fillId="0" borderId="0" xfId="0" applyNumberFormat="1" applyFont="1"/>
    <xf numFmtId="10" fontId="41" fillId="0" borderId="0" xfId="0" applyNumberFormat="1" applyFont="1"/>
    <xf numFmtId="0" fontId="0" fillId="0" borderId="7" xfId="0" applyBorder="1"/>
    <xf numFmtId="0" fontId="1" fillId="0" borderId="6" xfId="0" applyFont="1" applyBorder="1"/>
    <xf numFmtId="0" fontId="0" fillId="0" borderId="6" xfId="0" applyBorder="1"/>
    <xf numFmtId="0" fontId="1" fillId="0" borderId="5" xfId="0" applyFont="1" applyBorder="1"/>
    <xf numFmtId="0" fontId="52" fillId="0" borderId="0" xfId="0" applyFont="1"/>
    <xf numFmtId="10" fontId="26" fillId="0" borderId="0" xfId="0" applyNumberFormat="1" applyFont="1"/>
    <xf numFmtId="10" fontId="0" fillId="0" borderId="7" xfId="0" applyNumberFormat="1" applyBorder="1"/>
    <xf numFmtId="2" fontId="0" fillId="0" borderId="6" xfId="0" applyNumberFormat="1" applyBorder="1"/>
    <xf numFmtId="1" fontId="0" fillId="0" borderId="0" xfId="0" applyNumberFormat="1"/>
    <xf numFmtId="2" fontId="0" fillId="0" borderId="7" xfId="0" applyNumberForma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8">
    <cellStyle name="60% - Accent1" xfId="3" builtinId="32"/>
    <cellStyle name="60% - Accent3" xfId="4" builtinId="40"/>
    <cellStyle name="Accent6" xfId="5" builtinId="49"/>
    <cellStyle name="Comma" xfId="1" builtinId="3"/>
    <cellStyle name="Currency" xfId="7" builtinId="4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Regression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[1]Forecating!$B$9:$B$20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[1]Forecating!$D$9:$D$20</c:f>
              <c:numCache>
                <c:formatCode>General</c:formatCode>
                <c:ptCount val="12"/>
                <c:pt idx="0">
                  <c:v>32144</c:v>
                </c:pt>
                <c:pt idx="1">
                  <c:v>36701</c:v>
                </c:pt>
                <c:pt idx="2">
                  <c:v>31136</c:v>
                </c:pt>
                <c:pt idx="3">
                  <c:v>47568</c:v>
                </c:pt>
                <c:pt idx="4">
                  <c:v>50569</c:v>
                </c:pt>
                <c:pt idx="5">
                  <c:v>60427</c:v>
                </c:pt>
                <c:pt idx="6">
                  <c:v>70676</c:v>
                </c:pt>
                <c:pt idx="7">
                  <c:v>75379</c:v>
                </c:pt>
                <c:pt idx="8">
                  <c:v>85651</c:v>
                </c:pt>
                <c:pt idx="9">
                  <c:v>101456</c:v>
                </c:pt>
                <c:pt idx="10">
                  <c:v>109913</c:v>
                </c:pt>
                <c:pt idx="11">
                  <c:v>117055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95-AE45-8A34-1EB4C1487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375679"/>
        <c:axId val="844365119"/>
      </c:scatterChart>
      <c:valAx>
        <c:axId val="84437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65119"/>
        <c:crosses val="autoZero"/>
        <c:crossBetween val="midCat"/>
      </c:valAx>
      <c:valAx>
        <c:axId val="84436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75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381000</xdr:colOff>
      <xdr:row>4</xdr:row>
      <xdr:rowOff>152400</xdr:rowOff>
    </xdr:from>
    <xdr:to>
      <xdr:col>21</xdr:col>
      <xdr:colOff>165100</xdr:colOff>
      <xdr:row>21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36B60-FF97-B648-8964-03A703795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Users/udayagrawal/Downloads/Nestle%20India%20(1).xlsx" TargetMode="External"/><Relationship Id="rId1" Type="http://schemas.openxmlformats.org/officeDocument/2006/relationships/externalLinkPath" Target="/Users/udayagrawal/Downloads/Nestle%20India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ustomization"/>
      <sheetName val="Data Sheet"/>
      <sheetName val="Historical FS"/>
      <sheetName val="Ratio Analysis"/>
      <sheetName val="Foreca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9">
          <cell r="B9">
            <v>1</v>
          </cell>
          <cell r="D9">
            <v>32144</v>
          </cell>
        </row>
        <row r="10">
          <cell r="B10">
            <v>2</v>
          </cell>
          <cell r="D10">
            <v>36701</v>
          </cell>
        </row>
        <row r="11">
          <cell r="B11">
            <v>3</v>
          </cell>
          <cell r="D11">
            <v>31136</v>
          </cell>
        </row>
        <row r="12">
          <cell r="B12">
            <v>4</v>
          </cell>
          <cell r="D12">
            <v>47568</v>
          </cell>
        </row>
        <row r="13">
          <cell r="B13">
            <v>5</v>
          </cell>
          <cell r="D13">
            <v>50569</v>
          </cell>
        </row>
        <row r="14">
          <cell r="B14">
            <v>6</v>
          </cell>
          <cell r="D14">
            <v>60427</v>
          </cell>
        </row>
        <row r="15">
          <cell r="B15">
            <v>7</v>
          </cell>
          <cell r="D15">
            <v>70676</v>
          </cell>
        </row>
        <row r="16">
          <cell r="B16">
            <v>8</v>
          </cell>
          <cell r="D16">
            <v>75379</v>
          </cell>
        </row>
        <row r="17">
          <cell r="B17">
            <v>9</v>
          </cell>
          <cell r="D17">
            <v>85651</v>
          </cell>
        </row>
        <row r="18">
          <cell r="B18">
            <v>10</v>
          </cell>
          <cell r="D18">
            <v>101456</v>
          </cell>
        </row>
        <row r="19">
          <cell r="B19">
            <v>11</v>
          </cell>
          <cell r="D19">
            <v>109913</v>
          </cell>
        </row>
        <row r="20">
          <cell r="B20">
            <v>12</v>
          </cell>
          <cell r="D20">
            <v>117055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NESTLEIND/consolidated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company/NESTLEIND/" TargetMode="External"/><Relationship Id="rId3" Type="http://schemas.openxmlformats.org/officeDocument/2006/relationships/hyperlink" Target="https://www.screener.in/company/BIKAJI/consolidated/" TargetMode="External"/><Relationship Id="rId7" Type="http://schemas.openxmlformats.org/officeDocument/2006/relationships/hyperlink" Target="https://www.screener.in/company/GOPAL/" TargetMode="External"/><Relationship Id="rId12" Type="http://schemas.openxmlformats.org/officeDocument/2006/relationships/hyperlink" Target="https://www.screener.in/company/GOPAL/" TargetMode="External"/><Relationship Id="rId2" Type="http://schemas.openxmlformats.org/officeDocument/2006/relationships/hyperlink" Target="https://www.screener.in/company/BRITANNIA/consolidated/" TargetMode="External"/><Relationship Id="rId1" Type="http://schemas.openxmlformats.org/officeDocument/2006/relationships/hyperlink" Target="https://www.screener.in/company/NESTLEIND/" TargetMode="External"/><Relationship Id="rId6" Type="http://schemas.openxmlformats.org/officeDocument/2006/relationships/hyperlink" Target="https://www.screener.in/company/BECTORFOOD/" TargetMode="External"/><Relationship Id="rId11" Type="http://schemas.openxmlformats.org/officeDocument/2006/relationships/hyperlink" Target="https://www.screener.in/company/ZYDUSWELL/consolidated/" TargetMode="External"/><Relationship Id="rId5" Type="http://schemas.openxmlformats.org/officeDocument/2006/relationships/hyperlink" Target="https://www.screener.in/company/BBTC/consolidated/" TargetMode="External"/><Relationship Id="rId10" Type="http://schemas.openxmlformats.org/officeDocument/2006/relationships/hyperlink" Target="https://www.screener.in/company/BIKAJI/consolidated/" TargetMode="External"/><Relationship Id="rId4" Type="http://schemas.openxmlformats.org/officeDocument/2006/relationships/hyperlink" Target="https://www.screener.in/company/ZYDUSWELL/consolidated/" TargetMode="External"/><Relationship Id="rId9" Type="http://schemas.openxmlformats.org/officeDocument/2006/relationships/hyperlink" Target="https://www.screener.in/company/BRITANNIA/consolidated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BIKAJI/consolidated/" TargetMode="External"/><Relationship Id="rId7" Type="http://schemas.openxmlformats.org/officeDocument/2006/relationships/hyperlink" Target="https://www.screener.in/company/GOPAL/" TargetMode="External"/><Relationship Id="rId2" Type="http://schemas.openxmlformats.org/officeDocument/2006/relationships/hyperlink" Target="https://www.screener.in/company/BRITANNIA/consolidated/" TargetMode="External"/><Relationship Id="rId1" Type="http://schemas.openxmlformats.org/officeDocument/2006/relationships/hyperlink" Target="https://www.screener.in/company/NESTLEIND/" TargetMode="External"/><Relationship Id="rId6" Type="http://schemas.openxmlformats.org/officeDocument/2006/relationships/hyperlink" Target="https://www.screener.in/company/BECTORFOOD/" TargetMode="External"/><Relationship Id="rId5" Type="http://schemas.openxmlformats.org/officeDocument/2006/relationships/hyperlink" Target="https://www.screener.in/company/BBTC/consolidated/" TargetMode="External"/><Relationship Id="rId4" Type="http://schemas.openxmlformats.org/officeDocument/2006/relationships/hyperlink" Target="https://www.screener.in/company/ZYDUSWELL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B3" sqref="B3:K3"/>
    </sheetView>
  </sheetViews>
  <sheetFormatPr baseColWidth="10" defaultColWidth="8.83203125" defaultRowHeight="15" x14ac:dyDescent="0.2"/>
  <cols>
    <col min="1" max="1" width="20.6640625" customWidth="1"/>
    <col min="2" max="6" width="13.5" customWidth="1"/>
    <col min="7" max="7" width="14.83203125" bestFit="1" customWidth="1"/>
    <col min="8" max="11" width="13.5" customWidth="1"/>
    <col min="12" max="12" width="13.33203125" customWidth="1"/>
    <col min="13" max="14" width="12.1640625" customWidth="1"/>
  </cols>
  <sheetData>
    <row r="1" spans="1:14" s="2" customFormat="1" x14ac:dyDescent="0.2">
      <c r="A1" s="2" t="str">
        <f>'Data Sheet'!B1</f>
        <v>NESTLE INDIA LTD</v>
      </c>
      <c r="H1" t="str">
        <f>UPDATE</f>
        <v/>
      </c>
      <c r="J1" s="3"/>
      <c r="K1" s="3"/>
      <c r="M1" s="2" t="s">
        <v>1</v>
      </c>
    </row>
    <row r="3" spans="1:14" s="2" customFormat="1" x14ac:dyDescent="0.2">
      <c r="A3" s="11" t="s">
        <v>2</v>
      </c>
      <c r="B3" s="12">
        <f>'Data Sheet'!B16</f>
        <v>42735</v>
      </c>
      <c r="C3" s="12">
        <f>'Data Sheet'!C16</f>
        <v>43100</v>
      </c>
      <c r="D3" s="12">
        <f>'Data Sheet'!D16</f>
        <v>43465</v>
      </c>
      <c r="E3" s="12">
        <f>'Data Sheet'!E16</f>
        <v>43830</v>
      </c>
      <c r="F3" s="12">
        <f>'Data Sheet'!F16</f>
        <v>44196</v>
      </c>
      <c r="G3" s="12">
        <f>'Data Sheet'!G16</f>
        <v>44561</v>
      </c>
      <c r="H3" s="12">
        <f>'Data Sheet'!H16</f>
        <v>44926</v>
      </c>
      <c r="I3" s="12">
        <f>'Data Sheet'!I16</f>
        <v>45291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2">
      <c r="A4" s="2" t="s">
        <v>6</v>
      </c>
      <c r="B4" s="1">
        <f>'Data Sheet'!B17</f>
        <v>9141.34</v>
      </c>
      <c r="C4" s="1">
        <f>'Data Sheet'!C17</f>
        <v>10009.6</v>
      </c>
      <c r="D4" s="1">
        <f>'Data Sheet'!D17</f>
        <v>11292.27</v>
      </c>
      <c r="E4" s="1">
        <f>'Data Sheet'!E17</f>
        <v>12368.9</v>
      </c>
      <c r="F4" s="1">
        <f>'Data Sheet'!F17</f>
        <v>13350.03</v>
      </c>
      <c r="G4" s="1">
        <f>'Data Sheet'!G17</f>
        <v>14740.59</v>
      </c>
      <c r="H4" s="1">
        <f>'Data Sheet'!H17</f>
        <v>16896.96</v>
      </c>
      <c r="I4" s="1">
        <f>'Data Sheet'!I17</f>
        <v>19126.3</v>
      </c>
      <c r="J4" s="1">
        <f>'Data Sheet'!J17</f>
        <v>24393.89</v>
      </c>
      <c r="K4" s="1">
        <f>'Data Sheet'!K17</f>
        <v>20201.560000000001</v>
      </c>
      <c r="L4" s="1">
        <f>SUM(Quarters!H4:K4)</f>
        <v>21910.690000000002</v>
      </c>
      <c r="M4" s="1">
        <f>$K4+M23*K4</f>
        <v>21910.690000000002</v>
      </c>
      <c r="N4" s="1">
        <f>$K4+N23*L4</f>
        <v>21545.789024450703</v>
      </c>
    </row>
    <row r="5" spans="1:14" x14ac:dyDescent="0.2">
      <c r="A5" t="s">
        <v>7</v>
      </c>
      <c r="B5" s="6">
        <f>SUM('Data Sheet'!B18,'Data Sheet'!B20:B24, -1*'Data Sheet'!B19)</f>
        <v>7291.5</v>
      </c>
      <c r="C5" s="6">
        <f>SUM('Data Sheet'!C18,'Data Sheet'!C20:C24, -1*'Data Sheet'!C19)</f>
        <v>7913.0699999999988</v>
      </c>
      <c r="D5" s="6">
        <f>SUM('Data Sheet'!D18,'Data Sheet'!D20:D24, -1*'Data Sheet'!D19)</f>
        <v>8674.619999999999</v>
      </c>
      <c r="E5" s="6">
        <f>SUM('Data Sheet'!E18,'Data Sheet'!E20:E24, -1*'Data Sheet'!E19)</f>
        <v>9443.02</v>
      </c>
      <c r="F5" s="6">
        <f>SUM('Data Sheet'!F18,'Data Sheet'!F20:F24, -1*'Data Sheet'!F19)</f>
        <v>10148.529999999999</v>
      </c>
      <c r="G5" s="6">
        <f>SUM('Data Sheet'!G18,'Data Sheet'!G20:G24, -1*'Data Sheet'!G19)</f>
        <v>11178.19</v>
      </c>
      <c r="H5" s="6">
        <f>SUM('Data Sheet'!H18,'Data Sheet'!H20:H24, -1*'Data Sheet'!H19)</f>
        <v>13190.67</v>
      </c>
      <c r="I5" s="6">
        <f>SUM('Data Sheet'!I18,'Data Sheet'!I20:I24, -1*'Data Sheet'!I19)</f>
        <v>14655.31</v>
      </c>
      <c r="J5" s="6">
        <f>SUM('Data Sheet'!J18,'Data Sheet'!J20:J24, -1*'Data Sheet'!J19)</f>
        <v>18550.77</v>
      </c>
      <c r="K5" s="6">
        <f>SUM('Data Sheet'!K18,'Data Sheet'!K20:K24, -1*'Data Sheet'!K19)</f>
        <v>15430.230000000001</v>
      </c>
      <c r="L5" s="6">
        <f>SUM(Quarters!H5:K5)</f>
        <v>16982.760000000002</v>
      </c>
      <c r="M5" s="6">
        <f t="shared" ref="M5:N5" si="0">M4-M6</f>
        <v>16723.569442990818</v>
      </c>
      <c r="N5" s="6">
        <f t="shared" si="0"/>
        <v>16699.928848104759</v>
      </c>
    </row>
    <row r="6" spans="1:14" s="2" customFormat="1" x14ac:dyDescent="0.2">
      <c r="A6" s="2" t="s">
        <v>8</v>
      </c>
      <c r="B6" s="1">
        <f>B4-B5</f>
        <v>1849.8400000000001</v>
      </c>
      <c r="C6" s="1">
        <f t="shared" ref="C6:K6" si="1">C4-C5</f>
        <v>2096.5300000000016</v>
      </c>
      <c r="D6" s="1">
        <f t="shared" si="1"/>
        <v>2617.6500000000015</v>
      </c>
      <c r="E6" s="1">
        <f t="shared" si="1"/>
        <v>2925.8799999999992</v>
      </c>
      <c r="F6" s="1">
        <f t="shared" si="1"/>
        <v>3201.5000000000018</v>
      </c>
      <c r="G6" s="1">
        <f t="shared" si="1"/>
        <v>3562.3999999999996</v>
      </c>
      <c r="H6" s="1">
        <f t="shared" si="1"/>
        <v>3706.2899999999991</v>
      </c>
      <c r="I6" s="1">
        <f t="shared" si="1"/>
        <v>4470.99</v>
      </c>
      <c r="J6" s="1">
        <f t="shared" si="1"/>
        <v>5843.119999999999</v>
      </c>
      <c r="K6" s="1">
        <f t="shared" si="1"/>
        <v>4771.33</v>
      </c>
      <c r="L6" s="1">
        <f>SUM(Quarters!H6:K6)</f>
        <v>4927.93</v>
      </c>
      <c r="M6" s="1">
        <f>M4*M24</f>
        <v>5187.1205570091843</v>
      </c>
      <c r="N6" s="1">
        <f>N4*N24</f>
        <v>4845.8601763459455</v>
      </c>
    </row>
    <row r="7" spans="1:14" x14ac:dyDescent="0.2">
      <c r="A7" t="s">
        <v>9</v>
      </c>
      <c r="B7" s="6">
        <f>'Data Sheet'!B25</f>
        <v>140.12</v>
      </c>
      <c r="C7" s="6">
        <f>'Data Sheet'!C25</f>
        <v>176.92</v>
      </c>
      <c r="D7" s="6">
        <f>'Data Sheet'!D25</f>
        <v>258.92</v>
      </c>
      <c r="E7" s="6">
        <f>'Data Sheet'!E25</f>
        <v>246.88</v>
      </c>
      <c r="F7" s="6">
        <f>'Data Sheet'!F25</f>
        <v>145.85</v>
      </c>
      <c r="G7" s="6">
        <f>'Data Sheet'!G25</f>
        <v>-112.38</v>
      </c>
      <c r="H7" s="6">
        <f>'Data Sheet'!H25</f>
        <v>107.26</v>
      </c>
      <c r="I7" s="6">
        <f>'Data Sheet'!I25</f>
        <v>115.5</v>
      </c>
      <c r="J7" s="6">
        <f>'Data Sheet'!J25</f>
        <v>158.99</v>
      </c>
      <c r="K7" s="6">
        <f>'Data Sheet'!K25</f>
        <v>352.06</v>
      </c>
      <c r="L7" s="6">
        <f>SUM(Quarters!H7:K7)</f>
        <v>182.78</v>
      </c>
      <c r="M7" s="6">
        <v>0</v>
      </c>
      <c r="N7" s="6">
        <v>0</v>
      </c>
    </row>
    <row r="8" spans="1:14" x14ac:dyDescent="0.2">
      <c r="A8" t="s">
        <v>10</v>
      </c>
      <c r="B8" s="6">
        <f>'Data Sheet'!B26</f>
        <v>353.67</v>
      </c>
      <c r="C8" s="6">
        <f>'Data Sheet'!C26</f>
        <v>342.25</v>
      </c>
      <c r="D8" s="6">
        <f>'Data Sheet'!D26</f>
        <v>335.67</v>
      </c>
      <c r="E8" s="6">
        <f>'Data Sheet'!E26</f>
        <v>370.15</v>
      </c>
      <c r="F8" s="6">
        <f>'Data Sheet'!F26</f>
        <v>370.38</v>
      </c>
      <c r="G8" s="6">
        <f>'Data Sheet'!G26</f>
        <v>391.02</v>
      </c>
      <c r="H8" s="6">
        <f>'Data Sheet'!H26</f>
        <v>403.01</v>
      </c>
      <c r="I8" s="6">
        <f>'Data Sheet'!I26</f>
        <v>428.91</v>
      </c>
      <c r="J8" s="6">
        <f>'Data Sheet'!J26</f>
        <v>567.75</v>
      </c>
      <c r="K8" s="6">
        <f>'Data Sheet'!K26</f>
        <v>539.91999999999996</v>
      </c>
      <c r="L8" s="6">
        <f>SUM(Quarters!H8:K8)</f>
        <v>650.04</v>
      </c>
      <c r="M8" s="6">
        <f>+$L8</f>
        <v>650.04</v>
      </c>
      <c r="N8" s="6">
        <f>+$L8</f>
        <v>650.04</v>
      </c>
    </row>
    <row r="9" spans="1:14" x14ac:dyDescent="0.2">
      <c r="A9" t="s">
        <v>11</v>
      </c>
      <c r="B9" s="6">
        <f>'Data Sheet'!B27</f>
        <v>90.91</v>
      </c>
      <c r="C9" s="6">
        <f>'Data Sheet'!C27</f>
        <v>91.9</v>
      </c>
      <c r="D9" s="6">
        <f>'Data Sheet'!D27</f>
        <v>111.95</v>
      </c>
      <c r="E9" s="6">
        <f>'Data Sheet'!E27</f>
        <v>129.12</v>
      </c>
      <c r="F9" s="6">
        <f>'Data Sheet'!F27</f>
        <v>164.18</v>
      </c>
      <c r="G9" s="6">
        <f>'Data Sheet'!G27</f>
        <v>201.68</v>
      </c>
      <c r="H9" s="6">
        <f>'Data Sheet'!H27</f>
        <v>154.57</v>
      </c>
      <c r="I9" s="6">
        <f>'Data Sheet'!I27</f>
        <v>119.29</v>
      </c>
      <c r="J9" s="6">
        <f>'Data Sheet'!J27</f>
        <v>145.49</v>
      </c>
      <c r="K9" s="6">
        <f>'Data Sheet'!K27</f>
        <v>136</v>
      </c>
      <c r="L9" s="6">
        <f>SUM(Quarters!H9:K9)</f>
        <v>159.05000000000001</v>
      </c>
      <c r="M9" s="6">
        <f>+$L9</f>
        <v>159.05000000000001</v>
      </c>
      <c r="N9" s="6">
        <f>+$L9</f>
        <v>159.05000000000001</v>
      </c>
    </row>
    <row r="10" spans="1:14" x14ac:dyDescent="0.2">
      <c r="A10" t="s">
        <v>12</v>
      </c>
      <c r="B10" s="6">
        <f>'Data Sheet'!B28</f>
        <v>1545.38</v>
      </c>
      <c r="C10" s="6">
        <f>'Data Sheet'!C28</f>
        <v>1839.3</v>
      </c>
      <c r="D10" s="6">
        <f>'Data Sheet'!D28</f>
        <v>2428.9499999999998</v>
      </c>
      <c r="E10" s="6">
        <f>'Data Sheet'!E28</f>
        <v>2673.49</v>
      </c>
      <c r="F10" s="6">
        <f>'Data Sheet'!F28</f>
        <v>2812.79</v>
      </c>
      <c r="G10" s="6">
        <f>'Data Sheet'!G28</f>
        <v>2857.32</v>
      </c>
      <c r="H10" s="6">
        <f>'Data Sheet'!H28</f>
        <v>3255.97</v>
      </c>
      <c r="I10" s="6">
        <f>'Data Sheet'!I28</f>
        <v>4038.29</v>
      </c>
      <c r="J10" s="6">
        <f>'Data Sheet'!J28</f>
        <v>5288.87</v>
      </c>
      <c r="K10" s="6">
        <f>'Data Sheet'!K28</f>
        <v>4447.47</v>
      </c>
      <c r="L10" s="6">
        <f>SUM(Quarters!H10:K10)</f>
        <v>4301.62</v>
      </c>
      <c r="M10" s="6">
        <f>M6+M7-SUM(M8:M9)</f>
        <v>4378.0305570091841</v>
      </c>
      <c r="N10" s="6">
        <f>N6+N7-SUM(N8:N9)</f>
        <v>4036.7701763459454</v>
      </c>
    </row>
    <row r="11" spans="1:14" x14ac:dyDescent="0.2">
      <c r="A11" t="s">
        <v>13</v>
      </c>
      <c r="B11" s="6">
        <f>'Data Sheet'!B29</f>
        <v>544.02</v>
      </c>
      <c r="C11" s="6">
        <f>'Data Sheet'!C29</f>
        <v>614.11</v>
      </c>
      <c r="D11" s="6">
        <f>'Data Sheet'!D29</f>
        <v>822.02</v>
      </c>
      <c r="E11" s="6">
        <f>'Data Sheet'!E29</f>
        <v>705.05</v>
      </c>
      <c r="F11" s="6">
        <f>'Data Sheet'!F29</f>
        <v>730.36</v>
      </c>
      <c r="G11" s="6">
        <f>'Data Sheet'!G29</f>
        <v>738.91</v>
      </c>
      <c r="H11" s="6">
        <f>'Data Sheet'!H29</f>
        <v>865.45</v>
      </c>
      <c r="I11" s="6">
        <f>'Data Sheet'!I29</f>
        <v>1039.6199999999999</v>
      </c>
      <c r="J11" s="6">
        <f>'Data Sheet'!J29</f>
        <v>1356.03</v>
      </c>
      <c r="K11" s="6">
        <f>'Data Sheet'!K29</f>
        <v>1132.97</v>
      </c>
      <c r="L11" s="6">
        <f>SUM(Quarters!H11:K11)</f>
        <v>985.72</v>
      </c>
      <c r="M11" s="7">
        <f>IF($L10&gt;0,$L11/$L10,0)</f>
        <v>0.22915087804129608</v>
      </c>
      <c r="N11" s="7">
        <f>IF($L10&gt;0,$L11/$L10,0)</f>
        <v>0.22915087804129608</v>
      </c>
    </row>
    <row r="12" spans="1:14" s="2" customFormat="1" x14ac:dyDescent="0.2">
      <c r="A12" s="2" t="s">
        <v>14</v>
      </c>
      <c r="B12" s="1">
        <f>'Data Sheet'!B30</f>
        <v>1001.36</v>
      </c>
      <c r="C12" s="1">
        <f>'Data Sheet'!C30</f>
        <v>1225.19</v>
      </c>
      <c r="D12" s="1">
        <f>'Data Sheet'!D30</f>
        <v>1606.93</v>
      </c>
      <c r="E12" s="1">
        <f>'Data Sheet'!E30</f>
        <v>1968.44</v>
      </c>
      <c r="F12" s="1">
        <f>'Data Sheet'!F30</f>
        <v>2082.4299999999998</v>
      </c>
      <c r="G12" s="1">
        <f>'Data Sheet'!G30</f>
        <v>2118.41</v>
      </c>
      <c r="H12" s="1">
        <f>'Data Sheet'!H30</f>
        <v>2390.52</v>
      </c>
      <c r="I12" s="1">
        <f>'Data Sheet'!I30</f>
        <v>2998.67</v>
      </c>
      <c r="J12" s="1">
        <f>'Data Sheet'!J30</f>
        <v>3932.84</v>
      </c>
      <c r="K12" s="1">
        <f>'Data Sheet'!K30</f>
        <v>3314.5</v>
      </c>
      <c r="L12" s="1">
        <f>SUM(Quarters!H12:K12)</f>
        <v>3315.9</v>
      </c>
      <c r="M12" s="1">
        <f>M10-M11*M10</f>
        <v>3374.801010778905</v>
      </c>
      <c r="N12" s="1">
        <f>N10-N11*N10</f>
        <v>3111.7407459853544</v>
      </c>
    </row>
    <row r="13" spans="1:14" x14ac:dyDescent="0.2">
      <c r="A13" t="s">
        <v>57</v>
      </c>
      <c r="B13" s="6">
        <f>IF('Data Sheet'!B93&gt;0,B12/'Data Sheet'!B93,0)</f>
        <v>5.1937759336099587</v>
      </c>
      <c r="C13" s="6">
        <f>IF('Data Sheet'!C93&gt;0,C12/'Data Sheet'!C93,0)</f>
        <v>6.3547199170124484</v>
      </c>
      <c r="D13" s="6">
        <f>IF('Data Sheet'!D93&gt;0,D12/'Data Sheet'!D93,0)</f>
        <v>8.3346991701244804</v>
      </c>
      <c r="E13" s="6">
        <f>IF('Data Sheet'!E93&gt;0,E12/'Data Sheet'!E93,0)</f>
        <v>10.209751037344398</v>
      </c>
      <c r="F13" s="6">
        <f>IF('Data Sheet'!F93&gt;0,F12/'Data Sheet'!F93,0)</f>
        <v>10.800985477178422</v>
      </c>
      <c r="G13" s="6">
        <f>IF('Data Sheet'!G93&gt;0,G12/'Data Sheet'!G93,0)</f>
        <v>10.987603734439833</v>
      </c>
      <c r="H13" s="6">
        <f>IF('Data Sheet'!H93&gt;0,H12/'Data Sheet'!H93,0)</f>
        <v>12.398962655601659</v>
      </c>
      <c r="I13" s="6">
        <f>IF('Data Sheet'!I93&gt;0,I12/'Data Sheet'!I93,0)</f>
        <v>15.553267634854771</v>
      </c>
      <c r="J13" s="6">
        <f>IF('Data Sheet'!J93&gt;0,J12/'Data Sheet'!J93,0)</f>
        <v>20.395374163771198</v>
      </c>
      <c r="K13" s="6">
        <f>IF('Data Sheet'!K93&gt;0,K12/'Data Sheet'!K93,0)</f>
        <v>17.188715448840949</v>
      </c>
      <c r="L13" s="6">
        <f>IF('Data Sheet'!$B6&gt;0,'Profit &amp; Loss'!L12/'Data Sheet'!$B6,0)</f>
        <v>17.195848304986125</v>
      </c>
      <c r="M13" s="6">
        <f>IF('Data Sheet'!$B6&gt;0,'Profit &amp; Loss'!M12/'Data Sheet'!$B6,0)</f>
        <v>17.501301680047014</v>
      </c>
      <c r="N13" s="6">
        <f>IF('Data Sheet'!$B6&gt;0,'Profit &amp; Loss'!N12/'Data Sheet'!$B6,0)</f>
        <v>16.137103601558707</v>
      </c>
    </row>
    <row r="14" spans="1:14" x14ac:dyDescent="0.2">
      <c r="A14" t="s">
        <v>16</v>
      </c>
      <c r="B14" s="6">
        <f>IF(B15&gt;0,B15/B13,"")</f>
        <v>58.034848605895981</v>
      </c>
      <c r="C14" s="6">
        <f t="shared" ref="C14:K14" si="2">IF(C15&gt;0,C15/C13,"")</f>
        <v>61.930345497433052</v>
      </c>
      <c r="D14" s="6">
        <f t="shared" si="2"/>
        <v>66.497900966439119</v>
      </c>
      <c r="E14" s="6">
        <f t="shared" si="2"/>
        <v>72.40822986730609</v>
      </c>
      <c r="F14" s="6">
        <f t="shared" si="2"/>
        <v>85.132046695447158</v>
      </c>
      <c r="G14" s="6">
        <f t="shared" si="2"/>
        <v>89.672873523066826</v>
      </c>
      <c r="H14" s="6">
        <f t="shared" si="2"/>
        <v>79.063065776483782</v>
      </c>
      <c r="I14" s="6">
        <f t="shared" si="2"/>
        <v>85.44956797513565</v>
      </c>
      <c r="J14" s="6">
        <f t="shared" si="2"/>
        <v>64.288107169373788</v>
      </c>
      <c r="K14" s="6">
        <f t="shared" si="2"/>
        <v>65.472024558756985</v>
      </c>
      <c r="L14" s="6">
        <f t="shared" ref="L14" si="3">IF(L13&gt;0,L15/L13,0)</f>
        <v>73.235700714738073</v>
      </c>
      <c r="M14" s="6">
        <f>M25</f>
        <v>73.235700714738073</v>
      </c>
      <c r="N14" s="6">
        <f>N25</f>
        <v>72.111350104501128</v>
      </c>
    </row>
    <row r="15" spans="1:14" s="2" customFormat="1" x14ac:dyDescent="0.2">
      <c r="A15" s="2" t="s">
        <v>58</v>
      </c>
      <c r="B15" s="1">
        <f>'Data Sheet'!B90</f>
        <v>301.42</v>
      </c>
      <c r="C15" s="1">
        <f>'Data Sheet'!C90</f>
        <v>393.55</v>
      </c>
      <c r="D15" s="1">
        <f>'Data Sheet'!D90</f>
        <v>554.24</v>
      </c>
      <c r="E15" s="1">
        <f>'Data Sheet'!E90</f>
        <v>739.27</v>
      </c>
      <c r="F15" s="1">
        <f>'Data Sheet'!F90</f>
        <v>919.51</v>
      </c>
      <c r="G15" s="1">
        <f>'Data Sheet'!G90</f>
        <v>985.29</v>
      </c>
      <c r="H15" s="1">
        <f>'Data Sheet'!H90</f>
        <v>980.3</v>
      </c>
      <c r="I15" s="1">
        <f>'Data Sheet'!I90</f>
        <v>1329.02</v>
      </c>
      <c r="J15" s="1">
        <f>'Data Sheet'!J90</f>
        <v>1311.18</v>
      </c>
      <c r="K15" s="1">
        <f>'Data Sheet'!K90</f>
        <v>1125.3800000000001</v>
      </c>
      <c r="L15" s="1">
        <f>'Data Sheet'!B8</f>
        <v>1259.3499999999999</v>
      </c>
      <c r="M15" s="8">
        <f>M13*M14</f>
        <v>1281.7200919582658</v>
      </c>
      <c r="N15" s="9">
        <f>N13*N14</f>
        <v>1163.6683274846059</v>
      </c>
    </row>
    <row r="17" spans="1:14" s="2" customFormat="1" x14ac:dyDescent="0.2">
      <c r="A17" s="2" t="s">
        <v>15</v>
      </c>
    </row>
    <row r="18" spans="1:14" x14ac:dyDescent="0.2">
      <c r="A18" t="s">
        <v>17</v>
      </c>
      <c r="B18" s="5">
        <f>IF('Data Sheet'!B30&gt;0, 'Data Sheet'!B31/'Data Sheet'!B30, 0)</f>
        <v>0.60662499001358161</v>
      </c>
      <c r="C18" s="5">
        <f>IF('Data Sheet'!C30&gt;0, 'Data Sheet'!C31/'Data Sheet'!C30, 0)</f>
        <v>0.6768011492095104</v>
      </c>
      <c r="D18" s="5">
        <f>IF('Data Sheet'!D30&gt;0, 'Data Sheet'!D31/'Data Sheet'!D30, 0)</f>
        <v>0.69003005731425759</v>
      </c>
      <c r="E18" s="5">
        <f>IF('Data Sheet'!E30&gt;0, 'Data Sheet'!E31/'Data Sheet'!E30, 0)</f>
        <v>1.6752148909796589</v>
      </c>
      <c r="F18" s="5">
        <f>IF('Data Sheet'!F30&gt;0, 'Data Sheet'!F31/'Data Sheet'!F30, 0)</f>
        <v>0.92603352813780071</v>
      </c>
      <c r="G18" s="5">
        <f>IF('Data Sheet'!G30&gt;0, 'Data Sheet'!G31/'Data Sheet'!G30, 0)</f>
        <v>0.91030537053733707</v>
      </c>
      <c r="H18" s="5">
        <f>IF('Data Sheet'!H30&gt;0, 'Data Sheet'!H31/'Data Sheet'!H30, 0)</f>
        <v>0.88735505245720592</v>
      </c>
      <c r="I18" s="5">
        <f>IF('Data Sheet'!I30&gt;0, 'Data Sheet'!I31/'Data Sheet'!I30, 0)</f>
        <v>0.55948470488583268</v>
      </c>
      <c r="J18" s="5">
        <f>IF('Data Sheet'!J30&gt;0, 'Data Sheet'!J31/'Data Sheet'!J30, 0)</f>
        <v>0.78943460705240986</v>
      </c>
      <c r="K18" s="5">
        <f>IF('Data Sheet'!K30&gt;0, 'Data Sheet'!K31/'Data Sheet'!K30, 0)</f>
        <v>0.78543973449992466</v>
      </c>
    </row>
    <row r="19" spans="1:14" x14ac:dyDescent="0.2">
      <c r="A19" t="s">
        <v>18</v>
      </c>
      <c r="B19" s="5">
        <f t="shared" ref="B19:L19" si="4">IF(B6&gt;0,B6/B4,0)</f>
        <v>0.20235982908413866</v>
      </c>
      <c r="C19" s="5">
        <f t="shared" ref="C19:K19" si="5">IF(C6&gt;0,C6/C4,0)</f>
        <v>0.20945192615089528</v>
      </c>
      <c r="D19" s="5">
        <f t="shared" si="5"/>
        <v>0.2318090162562533</v>
      </c>
      <c r="E19" s="5">
        <f t="shared" si="5"/>
        <v>0.23655135056472276</v>
      </c>
      <c r="F19" s="5">
        <f t="shared" si="5"/>
        <v>0.23981219517858773</v>
      </c>
      <c r="G19" s="5">
        <f t="shared" si="5"/>
        <v>0.24167282313665869</v>
      </c>
      <c r="H19" s="5">
        <f t="shared" si="5"/>
        <v>0.21934655701380598</v>
      </c>
      <c r="I19" s="5">
        <f t="shared" si="5"/>
        <v>0.23376136524053268</v>
      </c>
      <c r="J19" s="5">
        <f t="shared" si="5"/>
        <v>0.23953211234452559</v>
      </c>
      <c r="K19" s="5">
        <f t="shared" si="5"/>
        <v>0.23618621532198503</v>
      </c>
      <c r="L19" s="5">
        <f t="shared" si="4"/>
        <v>0.22490984994082797</v>
      </c>
    </row>
    <row r="20" spans="1:14" x14ac:dyDescent="0.2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">
      <c r="A23"/>
      <c r="B23"/>
      <c r="C23"/>
      <c r="D23"/>
      <c r="E23"/>
      <c r="F23"/>
      <c r="G23" t="s">
        <v>22</v>
      </c>
      <c r="H23" s="5">
        <f>IF(B4=0,"",POWER($K4/B4,1/9)-1)</f>
        <v>9.2103738885850772E-2</v>
      </c>
      <c r="I23" s="5">
        <f>IF(D4=0,"",POWER($K4/D4,1/7)-1)</f>
        <v>8.6641372673184947E-2</v>
      </c>
      <c r="J23" s="5">
        <f>IF(F4=0,"",POWER($K4/F4,1/5)-1)</f>
        <v>8.6376926847651747E-2</v>
      </c>
      <c r="K23" s="5">
        <f>IF(H4=0,"",POWER($K4/H4, 1/3)-1)</f>
        <v>6.1350373924814905E-2</v>
      </c>
      <c r="L23" s="5">
        <f>IF(ISERROR(MAX(IF(J4=0,"",(K4-J4)/J4),IF(K4=0,"",(L4-K4)/K4))),"",MAX(IF(J4=0,"",(K4-J4)/J4),IF(K4=0,"",(L4-K4)/K4)))</f>
        <v>8.4603862275982697E-2</v>
      </c>
      <c r="M23" s="16">
        <f>MAX(K23:L23)</f>
        <v>8.4603862275982697E-2</v>
      </c>
      <c r="N23" s="16">
        <f>MIN(H23:L23)</f>
        <v>6.1350373924814905E-2</v>
      </c>
    </row>
    <row r="24" spans="1:14" x14ac:dyDescent="0.2">
      <c r="G24" t="s">
        <v>18</v>
      </c>
      <c r="H24" s="5">
        <f>IF(SUM(B4:$K$4)=0,"",SUMPRODUCT(B19:$K$19,B4:$K$4)/SUM(B4:$K$4))</f>
        <v>0.23129089850254853</v>
      </c>
      <c r="I24" s="5">
        <f>IF(SUM(E4:$K$4)=0,"",SUMPRODUCT(E19:$K$19,E4:$K$4)/SUM(E4:$K$4))</f>
        <v>0.23523229568189091</v>
      </c>
      <c r="J24" s="5">
        <f>IF(SUM(G4:$K$4)=0,"",SUMPRODUCT(G19:$K$19,G4:$K$4)/SUM(G4:$K$4))</f>
        <v>0.23442003034837713</v>
      </c>
      <c r="K24" s="5">
        <f>IF(SUM(I4:$K$4)=0, "", SUMPRODUCT(I19:$K$19,I4:$K$4)/SUM(I4:$K$4))</f>
        <v>0.23673926092739134</v>
      </c>
      <c r="L24" s="5">
        <f>L19</f>
        <v>0.22490984994082797</v>
      </c>
      <c r="M24" s="16">
        <f>MAX(K24:L24)</f>
        <v>0.23673926092739134</v>
      </c>
      <c r="N24" s="16">
        <f>MIN(H24:L24)</f>
        <v>0.22490984994082797</v>
      </c>
    </row>
    <row r="25" spans="1:14" x14ac:dyDescent="0.2">
      <c r="G25" t="s">
        <v>23</v>
      </c>
      <c r="H25" s="6">
        <f>IF(ISERROR(AVERAGEIF(B14:$L14,"&gt;0")),"",AVERAGEIF(B14:$L14,"&gt;0"))</f>
        <v>72.834973759097863</v>
      </c>
      <c r="I25" s="6">
        <f>IF(ISERROR(AVERAGEIF(E14:$L14,"&gt;0")),"",AVERAGEIF(E14:$L14,"&gt;0"))</f>
        <v>76.840202035038544</v>
      </c>
      <c r="J25" s="6">
        <f>IF(ISERROR(AVERAGEIF(G14:$L14,"&gt;0")),"",AVERAGEIF(G14:$L14,"&gt;0"))</f>
        <v>76.196889952925844</v>
      </c>
      <c r="K25" s="6">
        <f>IF(ISERROR(AVERAGEIF(I14:$L14,"&gt;0")),"",AVERAGEIF(I14:$L14,"&gt;0"))</f>
        <v>72.111350104501128</v>
      </c>
      <c r="L25" s="6">
        <f>L14</f>
        <v>73.235700714738073</v>
      </c>
      <c r="M25" s="1">
        <f>MAX(K25:L25)</f>
        <v>73.235700714738073</v>
      </c>
      <c r="N25" s="1">
        <f>MIN(H25:L25)</f>
        <v>72.111350104501128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customWidth="1"/>
    <col min="2" max="11" width="13.5" bestFit="1" customWidth="1"/>
  </cols>
  <sheetData>
    <row r="1" spans="1:11" s="2" customFormat="1" x14ac:dyDescent="0.2">
      <c r="A1" s="2" t="str">
        <f>'Profit &amp; Loss'!A1</f>
        <v>NESTLE INDIA LTD</v>
      </c>
      <c r="E1" t="str">
        <f>UPDATE</f>
        <v/>
      </c>
      <c r="J1" s="2" t="s">
        <v>1</v>
      </c>
    </row>
    <row r="3" spans="1:11" s="2" customFormat="1" x14ac:dyDescent="0.2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2">
      <c r="A4" s="2" t="s">
        <v>6</v>
      </c>
      <c r="B4" s="1">
        <f>'Data Sheet'!B42</f>
        <v>5036.82</v>
      </c>
      <c r="C4" s="1">
        <f>'Data Sheet'!C42</f>
        <v>4600.42</v>
      </c>
      <c r="D4" s="1">
        <f>'Data Sheet'!D42</f>
        <v>5267.59</v>
      </c>
      <c r="E4" s="1">
        <f>'Data Sheet'!E42</f>
        <v>4813.95</v>
      </c>
      <c r="F4" s="1">
        <f>'Data Sheet'!F42</f>
        <v>5104</v>
      </c>
      <c r="G4" s="1">
        <f>'Data Sheet'!G42</f>
        <v>4779.7299999999996</v>
      </c>
      <c r="H4" s="1">
        <f>'Data Sheet'!H42</f>
        <v>5503.88</v>
      </c>
      <c r="I4" s="1">
        <f>'Data Sheet'!I42</f>
        <v>5096.16</v>
      </c>
      <c r="J4" s="1">
        <f>'Data Sheet'!J42</f>
        <v>5643.61</v>
      </c>
      <c r="K4" s="1">
        <f>'Data Sheet'!K42</f>
        <v>5667.04</v>
      </c>
    </row>
    <row r="5" spans="1:11" x14ac:dyDescent="0.2">
      <c r="A5" t="s">
        <v>7</v>
      </c>
      <c r="B5" s="6">
        <f>'Data Sheet'!B43</f>
        <v>3811.95</v>
      </c>
      <c r="C5" s="6">
        <f>'Data Sheet'!C43</f>
        <v>3505.3</v>
      </c>
      <c r="D5" s="6">
        <f>'Data Sheet'!D43</f>
        <v>3917.54</v>
      </c>
      <c r="E5" s="6">
        <f>'Data Sheet'!E43</f>
        <v>3699.62</v>
      </c>
      <c r="F5" s="6">
        <f>'Data Sheet'!F43</f>
        <v>3936.27</v>
      </c>
      <c r="G5" s="6">
        <f>'Data Sheet'!G43</f>
        <v>3677.04</v>
      </c>
      <c r="H5" s="6">
        <f>'Data Sheet'!H43</f>
        <v>4114.92</v>
      </c>
      <c r="I5" s="6">
        <f>'Data Sheet'!I43</f>
        <v>3995.9</v>
      </c>
      <c r="J5" s="6">
        <f>'Data Sheet'!J43</f>
        <v>4406.97</v>
      </c>
      <c r="K5" s="6">
        <f>'Data Sheet'!K43</f>
        <v>4464.97</v>
      </c>
    </row>
    <row r="6" spans="1:11" s="2" customFormat="1" x14ac:dyDescent="0.2">
      <c r="A6" s="2" t="s">
        <v>8</v>
      </c>
      <c r="B6" s="1">
        <f>'Data Sheet'!B50</f>
        <v>1224.8699999999999</v>
      </c>
      <c r="C6" s="1">
        <f>'Data Sheet'!C50</f>
        <v>1095.1199999999999</v>
      </c>
      <c r="D6" s="1">
        <f>'Data Sheet'!D50</f>
        <v>1350.05</v>
      </c>
      <c r="E6" s="1">
        <f>'Data Sheet'!E50</f>
        <v>1114.33</v>
      </c>
      <c r="F6" s="1">
        <f>'Data Sheet'!F50</f>
        <v>1167.73</v>
      </c>
      <c r="G6" s="1">
        <f>'Data Sheet'!G50</f>
        <v>1102.69</v>
      </c>
      <c r="H6" s="1">
        <f>'Data Sheet'!H50</f>
        <v>1388.96</v>
      </c>
      <c r="I6" s="1">
        <f>'Data Sheet'!I50</f>
        <v>1100.26</v>
      </c>
      <c r="J6" s="1">
        <f>'Data Sheet'!J50</f>
        <v>1236.6400000000001</v>
      </c>
      <c r="K6" s="1">
        <f>'Data Sheet'!K50</f>
        <v>1202.07</v>
      </c>
    </row>
    <row r="7" spans="1:11" x14ac:dyDescent="0.2">
      <c r="A7" t="s">
        <v>9</v>
      </c>
      <c r="B7" s="6">
        <f>'Data Sheet'!B44</f>
        <v>139.69</v>
      </c>
      <c r="C7" s="6">
        <f>'Data Sheet'!C44</f>
        <v>-77</v>
      </c>
      <c r="D7" s="6">
        <f>'Data Sheet'!D44</f>
        <v>36.83</v>
      </c>
      <c r="E7" s="6">
        <f>'Data Sheet'!E44</f>
        <v>39.119999999999997</v>
      </c>
      <c r="F7" s="6">
        <f>'Data Sheet'!F44</f>
        <v>297.68</v>
      </c>
      <c r="G7" s="6">
        <f>'Data Sheet'!G44</f>
        <v>4.4400000000000004</v>
      </c>
      <c r="H7" s="6">
        <f>'Data Sheet'!H44</f>
        <v>8.44</v>
      </c>
      <c r="I7" s="6">
        <f>'Data Sheet'!I44</f>
        <v>4.04</v>
      </c>
      <c r="J7" s="6">
        <f>'Data Sheet'!J44</f>
        <v>1.64</v>
      </c>
      <c r="K7" s="6">
        <f>'Data Sheet'!K44</f>
        <v>168.66</v>
      </c>
    </row>
    <row r="8" spans="1:11" x14ac:dyDescent="0.2">
      <c r="A8" t="s">
        <v>10</v>
      </c>
      <c r="B8" s="6">
        <f>'Data Sheet'!B45</f>
        <v>111.16</v>
      </c>
      <c r="C8" s="6">
        <f>'Data Sheet'!C45</f>
        <v>108.69</v>
      </c>
      <c r="D8" s="6">
        <f>'Data Sheet'!D45</f>
        <v>110.1</v>
      </c>
      <c r="E8" s="6">
        <f>'Data Sheet'!E45</f>
        <v>112.71</v>
      </c>
      <c r="F8" s="6">
        <f>'Data Sheet'!F45</f>
        <v>121.6</v>
      </c>
      <c r="G8" s="6">
        <f>'Data Sheet'!G45</f>
        <v>150.27000000000001</v>
      </c>
      <c r="H8" s="6">
        <f>'Data Sheet'!H45</f>
        <v>155.34</v>
      </c>
      <c r="I8" s="6">
        <f>'Data Sheet'!I45</f>
        <v>156.94</v>
      </c>
      <c r="J8" s="6">
        <f>'Data Sheet'!J45</f>
        <v>163.35</v>
      </c>
      <c r="K8" s="6">
        <f>'Data Sheet'!K45</f>
        <v>174.41</v>
      </c>
    </row>
    <row r="9" spans="1:11" x14ac:dyDescent="0.2">
      <c r="A9" t="s">
        <v>11</v>
      </c>
      <c r="B9" s="6">
        <f>'Data Sheet'!B46</f>
        <v>31.38</v>
      </c>
      <c r="C9" s="6">
        <f>'Data Sheet'!C46</f>
        <v>22.95</v>
      </c>
      <c r="D9" s="6">
        <f>'Data Sheet'!D46</f>
        <v>26.2</v>
      </c>
      <c r="E9" s="6">
        <f>'Data Sheet'!E46</f>
        <v>31.68</v>
      </c>
      <c r="F9" s="6">
        <f>'Data Sheet'!F46</f>
        <v>32.22</v>
      </c>
      <c r="G9" s="6">
        <f>'Data Sheet'!G46</f>
        <v>34.6</v>
      </c>
      <c r="H9" s="6">
        <f>'Data Sheet'!H46</f>
        <v>37.5</v>
      </c>
      <c r="I9" s="6">
        <f>'Data Sheet'!I46</f>
        <v>46.89</v>
      </c>
      <c r="J9" s="6">
        <f>'Data Sheet'!J46</f>
        <v>46.41</v>
      </c>
      <c r="K9" s="6">
        <f>'Data Sheet'!K46</f>
        <v>28.25</v>
      </c>
    </row>
    <row r="10" spans="1:11" x14ac:dyDescent="0.2">
      <c r="A10" t="s">
        <v>12</v>
      </c>
      <c r="B10" s="6">
        <f>'Data Sheet'!B47</f>
        <v>1222.02</v>
      </c>
      <c r="C10" s="6">
        <f>'Data Sheet'!C47</f>
        <v>886.48</v>
      </c>
      <c r="D10" s="6">
        <f>'Data Sheet'!D47</f>
        <v>1250.58</v>
      </c>
      <c r="E10" s="6">
        <f>'Data Sheet'!E47</f>
        <v>1009.06</v>
      </c>
      <c r="F10" s="6">
        <f>'Data Sheet'!F47</f>
        <v>1311.59</v>
      </c>
      <c r="G10" s="6">
        <f>'Data Sheet'!G47</f>
        <v>922.26</v>
      </c>
      <c r="H10" s="6">
        <f>'Data Sheet'!H47</f>
        <v>1204.56</v>
      </c>
      <c r="I10" s="6">
        <f>'Data Sheet'!I47</f>
        <v>900.47</v>
      </c>
      <c r="J10" s="6">
        <f>'Data Sheet'!J47</f>
        <v>1028.52</v>
      </c>
      <c r="K10" s="6">
        <f>'Data Sheet'!K47</f>
        <v>1168.07</v>
      </c>
    </row>
    <row r="11" spans="1:11" x14ac:dyDescent="0.2">
      <c r="A11" t="s">
        <v>13</v>
      </c>
      <c r="B11" s="6">
        <f>'Data Sheet'!B48</f>
        <v>313.94</v>
      </c>
      <c r="C11" s="6">
        <f>'Data Sheet'!C48</f>
        <v>230.87</v>
      </c>
      <c r="D11" s="6">
        <f>'Data Sheet'!D48</f>
        <v>316.41000000000003</v>
      </c>
      <c r="E11" s="6">
        <f>'Data Sheet'!E48</f>
        <v>262.45999999999998</v>
      </c>
      <c r="F11" s="6">
        <f>'Data Sheet'!F48</f>
        <v>325.23</v>
      </c>
      <c r="G11" s="6">
        <f>'Data Sheet'!G48</f>
        <v>226.13</v>
      </c>
      <c r="H11" s="6">
        <f>'Data Sheet'!H48</f>
        <v>319.14999999999998</v>
      </c>
      <c r="I11" s="6">
        <f>'Data Sheet'!I48</f>
        <v>241.24</v>
      </c>
      <c r="J11" s="6">
        <f>'Data Sheet'!J48</f>
        <v>275.32</v>
      </c>
      <c r="K11" s="6">
        <f>'Data Sheet'!K48</f>
        <v>150.01</v>
      </c>
    </row>
    <row r="12" spans="1:11" s="2" customFormat="1" x14ac:dyDescent="0.2">
      <c r="A12" s="2" t="s">
        <v>14</v>
      </c>
      <c r="B12" s="1">
        <f>'Data Sheet'!B49</f>
        <v>908.08</v>
      </c>
      <c r="C12" s="1">
        <f>'Data Sheet'!C49</f>
        <v>655.61</v>
      </c>
      <c r="D12" s="1">
        <f>'Data Sheet'!D49</f>
        <v>934.17</v>
      </c>
      <c r="E12" s="1">
        <f>'Data Sheet'!E49</f>
        <v>746.6</v>
      </c>
      <c r="F12" s="1">
        <f>'Data Sheet'!F49</f>
        <v>986.36</v>
      </c>
      <c r="G12" s="1">
        <f>'Data Sheet'!G49</f>
        <v>696.13</v>
      </c>
      <c r="H12" s="1">
        <f>'Data Sheet'!H49</f>
        <v>885.41</v>
      </c>
      <c r="I12" s="1">
        <f>'Data Sheet'!I49</f>
        <v>659.23</v>
      </c>
      <c r="J12" s="1">
        <f>'Data Sheet'!J49</f>
        <v>753.2</v>
      </c>
      <c r="K12" s="1">
        <f>'Data Sheet'!K49</f>
        <v>1018.06</v>
      </c>
    </row>
    <row r="14" spans="1:11" s="2" customFormat="1" x14ac:dyDescent="0.2">
      <c r="A14" s="2" t="s">
        <v>18</v>
      </c>
      <c r="B14" s="10">
        <f>IF(B4&gt;0,B6/B4,"")</f>
        <v>0.24318319892313006</v>
      </c>
      <c r="C14" s="10">
        <f t="shared" ref="C14:K14" si="0">IF(C4&gt;0,C6/C4,"")</f>
        <v>0.23804783041548377</v>
      </c>
      <c r="D14" s="10">
        <f t="shared" si="0"/>
        <v>0.25629367509620149</v>
      </c>
      <c r="E14" s="10">
        <f t="shared" si="0"/>
        <v>0.23147934648261823</v>
      </c>
      <c r="F14" s="10">
        <f t="shared" si="0"/>
        <v>0.22878722570532917</v>
      </c>
      <c r="G14" s="10">
        <f t="shared" si="0"/>
        <v>0.23070131576469805</v>
      </c>
      <c r="H14" s="10">
        <f t="shared" si="0"/>
        <v>0.25236015320101457</v>
      </c>
      <c r="I14" s="10">
        <f t="shared" si="0"/>
        <v>0.21589981476248785</v>
      </c>
      <c r="J14" s="10">
        <f t="shared" si="0"/>
        <v>0.21912215762605852</v>
      </c>
      <c r="K14" s="10">
        <f t="shared" si="0"/>
        <v>0.2121160252971569</v>
      </c>
    </row>
    <row r="22" s="23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B3" sqref="B3:K3"/>
    </sheetView>
  </sheetViews>
  <sheetFormatPr baseColWidth="10" defaultColWidth="8.83203125" defaultRowHeight="15" x14ac:dyDescent="0.2"/>
  <cols>
    <col min="1" max="1" width="22.83203125" bestFit="1" customWidth="1"/>
    <col min="2" max="2" width="13.5" customWidth="1"/>
    <col min="3" max="11" width="15.5" customWidth="1"/>
  </cols>
  <sheetData>
    <row r="1" spans="1:11" s="2" customFormat="1" x14ac:dyDescent="0.2">
      <c r="A1" s="2" t="str">
        <f>'Profit &amp; Loss'!A1</f>
        <v>NESTLE INDIA LTD</v>
      </c>
      <c r="E1" t="str">
        <f>UPDATE</f>
        <v/>
      </c>
      <c r="G1"/>
      <c r="J1" s="2" t="s">
        <v>1</v>
      </c>
    </row>
    <row r="2" spans="1:11" x14ac:dyDescent="0.2">
      <c r="G2" s="2"/>
      <c r="H2" s="2"/>
    </row>
    <row r="3" spans="1:11" x14ac:dyDescent="0.2">
      <c r="A3" s="11" t="s">
        <v>2</v>
      </c>
      <c r="B3" s="12">
        <f>'Data Sheet'!B56</f>
        <v>42735</v>
      </c>
      <c r="C3" s="12">
        <f>'Data Sheet'!C56</f>
        <v>43100</v>
      </c>
      <c r="D3" s="12">
        <f>'Data Sheet'!D56</f>
        <v>43465</v>
      </c>
      <c r="E3" s="12">
        <f>'Data Sheet'!E56</f>
        <v>43830</v>
      </c>
      <c r="F3" s="12">
        <f>'Data Sheet'!F56</f>
        <v>44196</v>
      </c>
      <c r="G3" s="12">
        <f>'Data Sheet'!G56</f>
        <v>44561</v>
      </c>
      <c r="H3" s="12">
        <f>'Data Sheet'!H56</f>
        <v>44926</v>
      </c>
      <c r="I3" s="12">
        <f>'Data Sheet'!I56</f>
        <v>45291</v>
      </c>
      <c r="J3" s="12">
        <f>'Data Sheet'!J56</f>
        <v>45382</v>
      </c>
      <c r="K3" s="12">
        <f>'Data Sheet'!K56</f>
        <v>45747</v>
      </c>
    </row>
    <row r="4" spans="1:11" x14ac:dyDescent="0.2">
      <c r="A4" t="s">
        <v>24</v>
      </c>
      <c r="B4" s="14">
        <f>'Data Sheet'!B57</f>
        <v>96.42</v>
      </c>
      <c r="C4" s="14">
        <f>'Data Sheet'!C57</f>
        <v>96.42</v>
      </c>
      <c r="D4" s="14">
        <f>'Data Sheet'!D57</f>
        <v>96.42</v>
      </c>
      <c r="E4" s="14">
        <f>'Data Sheet'!E57</f>
        <v>96.42</v>
      </c>
      <c r="F4" s="14">
        <f>'Data Sheet'!F57</f>
        <v>96.42</v>
      </c>
      <c r="G4" s="14">
        <f>'Data Sheet'!G57</f>
        <v>96.42</v>
      </c>
      <c r="H4" s="14">
        <f>'Data Sheet'!H57</f>
        <v>96.42</v>
      </c>
      <c r="I4" s="14">
        <f>'Data Sheet'!I57</f>
        <v>96.42</v>
      </c>
      <c r="J4" s="14">
        <f>'Data Sheet'!J57</f>
        <v>96.42</v>
      </c>
      <c r="K4" s="14">
        <f>'Data Sheet'!K57</f>
        <v>96.42</v>
      </c>
    </row>
    <row r="5" spans="1:11" x14ac:dyDescent="0.2">
      <c r="A5" t="s">
        <v>25</v>
      </c>
      <c r="B5" s="14">
        <f>'Data Sheet'!B58</f>
        <v>3185.91</v>
      </c>
      <c r="C5" s="14">
        <f>'Data Sheet'!C58</f>
        <v>3324.17</v>
      </c>
      <c r="D5" s="14">
        <f>'Data Sheet'!D58</f>
        <v>3577.32</v>
      </c>
      <c r="E5" s="14">
        <f>'Data Sheet'!E58</f>
        <v>1822.45</v>
      </c>
      <c r="F5" s="14">
        <f>'Data Sheet'!F58</f>
        <v>1922.92</v>
      </c>
      <c r="G5" s="14">
        <f>'Data Sheet'!G58</f>
        <v>1849.96</v>
      </c>
      <c r="H5" s="14">
        <f>'Data Sheet'!H58</f>
        <v>2362.75</v>
      </c>
      <c r="I5" s="14">
        <f>'Data Sheet'!I58</f>
        <v>2362.75</v>
      </c>
      <c r="J5" s="14">
        <f>'Data Sheet'!J58</f>
        <v>3244.47</v>
      </c>
      <c r="K5" s="14">
        <f>'Data Sheet'!K58</f>
        <v>4020.73</v>
      </c>
    </row>
    <row r="6" spans="1:11" x14ac:dyDescent="0.2">
      <c r="A6" t="s">
        <v>71</v>
      </c>
      <c r="B6" s="14">
        <f>'Data Sheet'!B59</f>
        <v>33.15</v>
      </c>
      <c r="C6" s="14">
        <f>'Data Sheet'!C59</f>
        <v>35.14</v>
      </c>
      <c r="D6" s="14">
        <f>'Data Sheet'!D59</f>
        <v>35.14</v>
      </c>
      <c r="E6" s="14">
        <f>'Data Sheet'!E59</f>
        <v>188.94</v>
      </c>
      <c r="F6" s="14">
        <f>'Data Sheet'!F59</f>
        <v>147.49</v>
      </c>
      <c r="G6" s="14">
        <f>'Data Sheet'!G59</f>
        <v>266.45999999999998</v>
      </c>
      <c r="H6" s="14">
        <f>'Data Sheet'!H59</f>
        <v>270.52</v>
      </c>
      <c r="I6" s="14">
        <f>'Data Sheet'!I59</f>
        <v>270.52</v>
      </c>
      <c r="J6" s="14">
        <f>'Data Sheet'!J59</f>
        <v>344.53</v>
      </c>
      <c r="K6" s="14">
        <f>'Data Sheet'!K59</f>
        <v>1166.8499999999999</v>
      </c>
    </row>
    <row r="7" spans="1:11" x14ac:dyDescent="0.2">
      <c r="A7" t="s">
        <v>72</v>
      </c>
      <c r="B7" s="14">
        <f>'Data Sheet'!B60</f>
        <v>3494.98</v>
      </c>
      <c r="C7" s="14">
        <f>'Data Sheet'!C60</f>
        <v>3906.86</v>
      </c>
      <c r="D7" s="14">
        <f>'Data Sheet'!D60</f>
        <v>4379.2</v>
      </c>
      <c r="E7" s="14">
        <f>'Data Sheet'!E60</f>
        <v>5065.13</v>
      </c>
      <c r="F7" s="14">
        <f>'Data Sheet'!F60</f>
        <v>5732.9</v>
      </c>
      <c r="G7" s="14">
        <f>'Data Sheet'!G60</f>
        <v>6021.29</v>
      </c>
      <c r="H7" s="14">
        <f>'Data Sheet'!H60</f>
        <v>6249.05</v>
      </c>
      <c r="I7" s="14">
        <f>'Data Sheet'!I60</f>
        <v>6249.05</v>
      </c>
      <c r="J7" s="14">
        <f>'Data Sheet'!J60</f>
        <v>6837.64</v>
      </c>
      <c r="K7" s="14">
        <f>'Data Sheet'!K60</f>
        <v>7039.89</v>
      </c>
    </row>
    <row r="8" spans="1:11" s="2" customFormat="1" x14ac:dyDescent="0.2">
      <c r="A8" s="2" t="s">
        <v>26</v>
      </c>
      <c r="B8" s="15">
        <f>'Data Sheet'!B61</f>
        <v>6810.46</v>
      </c>
      <c r="C8" s="15">
        <f>'Data Sheet'!C61</f>
        <v>7362.59</v>
      </c>
      <c r="D8" s="15">
        <f>'Data Sheet'!D61</f>
        <v>8088.08</v>
      </c>
      <c r="E8" s="15">
        <f>'Data Sheet'!E61</f>
        <v>7172.94</v>
      </c>
      <c r="F8" s="15">
        <f>'Data Sheet'!F61</f>
        <v>7899.73</v>
      </c>
      <c r="G8" s="15">
        <f>'Data Sheet'!G61</f>
        <v>8234.1299999999992</v>
      </c>
      <c r="H8" s="15">
        <f>'Data Sheet'!H61</f>
        <v>8978.74</v>
      </c>
      <c r="I8" s="15">
        <f>'Data Sheet'!I61</f>
        <v>8978.74</v>
      </c>
      <c r="J8" s="15">
        <f>'Data Sheet'!J61</f>
        <v>10523.06</v>
      </c>
      <c r="K8" s="15">
        <f>'Data Sheet'!K61</f>
        <v>12323.89</v>
      </c>
    </row>
    <row r="9" spans="1:11" s="2" customFormat="1" x14ac:dyDescent="0.2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">
      <c r="A10" t="s">
        <v>27</v>
      </c>
      <c r="B10" s="14">
        <f>'Data Sheet'!B62</f>
        <v>2730.14</v>
      </c>
      <c r="C10" s="14">
        <f>'Data Sheet'!C62</f>
        <v>2616.1799999999998</v>
      </c>
      <c r="D10" s="14">
        <f>'Data Sheet'!D62</f>
        <v>2400.62</v>
      </c>
      <c r="E10" s="14">
        <f>'Data Sheet'!E62</f>
        <v>2341.4499999999998</v>
      </c>
      <c r="F10" s="14">
        <f>'Data Sheet'!F62</f>
        <v>2179.41</v>
      </c>
      <c r="G10" s="14">
        <f>'Data Sheet'!G62</f>
        <v>2994.67</v>
      </c>
      <c r="H10" s="14">
        <f>'Data Sheet'!H62</f>
        <v>3043.7</v>
      </c>
      <c r="I10" s="14">
        <f>'Data Sheet'!I62</f>
        <v>3043.7</v>
      </c>
      <c r="J10" s="14">
        <f>'Data Sheet'!J62</f>
        <v>3460.25</v>
      </c>
      <c r="K10" s="14">
        <f>'Data Sheet'!K62</f>
        <v>5473.61</v>
      </c>
    </row>
    <row r="11" spans="1:11" x14ac:dyDescent="0.2">
      <c r="A11" t="s">
        <v>28</v>
      </c>
      <c r="B11" s="14">
        <f>'Data Sheet'!B63</f>
        <v>188.17</v>
      </c>
      <c r="C11" s="14">
        <f>'Data Sheet'!C63</f>
        <v>94.16</v>
      </c>
      <c r="D11" s="14">
        <f>'Data Sheet'!D63</f>
        <v>105.2</v>
      </c>
      <c r="E11" s="14">
        <f>'Data Sheet'!E63</f>
        <v>143.30000000000001</v>
      </c>
      <c r="F11" s="14">
        <f>'Data Sheet'!F63</f>
        <v>638.58000000000004</v>
      </c>
      <c r="G11" s="14">
        <f>'Data Sheet'!G63</f>
        <v>246.23</v>
      </c>
      <c r="H11" s="14">
        <f>'Data Sheet'!H63</f>
        <v>358.36</v>
      </c>
      <c r="I11" s="14">
        <f>'Data Sheet'!I63</f>
        <v>358.36</v>
      </c>
      <c r="J11" s="14">
        <f>'Data Sheet'!J63</f>
        <v>1741.71</v>
      </c>
      <c r="K11" s="14">
        <f>'Data Sheet'!K63</f>
        <v>1172.56</v>
      </c>
    </row>
    <row r="12" spans="1:11" x14ac:dyDescent="0.2">
      <c r="A12" t="s">
        <v>29</v>
      </c>
      <c r="B12" s="14">
        <f>'Data Sheet'!B64</f>
        <v>1755.66</v>
      </c>
      <c r="C12" s="14">
        <f>'Data Sheet'!C64</f>
        <v>1978.87</v>
      </c>
      <c r="D12" s="14">
        <f>'Data Sheet'!D64</f>
        <v>2658.49</v>
      </c>
      <c r="E12" s="14">
        <f>'Data Sheet'!E64</f>
        <v>1751.05</v>
      </c>
      <c r="F12" s="14">
        <f>'Data Sheet'!F64</f>
        <v>1463.77</v>
      </c>
      <c r="G12" s="14">
        <f>'Data Sheet'!G64</f>
        <v>773.98</v>
      </c>
      <c r="H12" s="14">
        <f>'Data Sheet'!H64</f>
        <v>777.54</v>
      </c>
      <c r="I12" s="14">
        <f>'Data Sheet'!I64</f>
        <v>777.54</v>
      </c>
      <c r="J12" s="14">
        <f>'Data Sheet'!J64</f>
        <v>463.87</v>
      </c>
      <c r="K12" s="14">
        <f>'Data Sheet'!K64</f>
        <v>705.6</v>
      </c>
    </row>
    <row r="13" spans="1:11" x14ac:dyDescent="0.2">
      <c r="A13" t="s">
        <v>73</v>
      </c>
      <c r="B13" s="14">
        <f>'Data Sheet'!B65</f>
        <v>2136.4899999999998</v>
      </c>
      <c r="C13" s="14">
        <f>'Data Sheet'!C65</f>
        <v>2673.38</v>
      </c>
      <c r="D13" s="14">
        <f>'Data Sheet'!D65</f>
        <v>2923.77</v>
      </c>
      <c r="E13" s="14">
        <f>'Data Sheet'!E65</f>
        <v>2937.14</v>
      </c>
      <c r="F13" s="14">
        <f>'Data Sheet'!F65</f>
        <v>3617.97</v>
      </c>
      <c r="G13" s="14">
        <f>'Data Sheet'!G65</f>
        <v>4219.25</v>
      </c>
      <c r="H13" s="14">
        <f>'Data Sheet'!H65</f>
        <v>4799.1400000000003</v>
      </c>
      <c r="I13" s="14">
        <f>'Data Sheet'!I65</f>
        <v>4799.1400000000003</v>
      </c>
      <c r="J13" s="14">
        <f>'Data Sheet'!J65</f>
        <v>4857.2299999999996</v>
      </c>
      <c r="K13" s="14">
        <f>'Data Sheet'!K65</f>
        <v>4972.12</v>
      </c>
    </row>
    <row r="14" spans="1:11" s="2" customFormat="1" x14ac:dyDescent="0.2">
      <c r="A14" s="2" t="s">
        <v>26</v>
      </c>
      <c r="B14" s="14">
        <f>'Data Sheet'!B66</f>
        <v>6810.46</v>
      </c>
      <c r="C14" s="14">
        <f>'Data Sheet'!C66</f>
        <v>7362.59</v>
      </c>
      <c r="D14" s="14">
        <f>'Data Sheet'!D66</f>
        <v>8088.08</v>
      </c>
      <c r="E14" s="14">
        <f>'Data Sheet'!E66</f>
        <v>7172.94</v>
      </c>
      <c r="F14" s="14">
        <f>'Data Sheet'!F66</f>
        <v>7899.73</v>
      </c>
      <c r="G14" s="14">
        <f>'Data Sheet'!G66</f>
        <v>8234.1299999999992</v>
      </c>
      <c r="H14" s="14">
        <f>'Data Sheet'!H66</f>
        <v>8978.74</v>
      </c>
      <c r="I14" s="14">
        <f>'Data Sheet'!I66</f>
        <v>8978.74</v>
      </c>
      <c r="J14" s="14">
        <f>'Data Sheet'!J66</f>
        <v>10523.06</v>
      </c>
      <c r="K14" s="14">
        <f>'Data Sheet'!K66</f>
        <v>12323.89</v>
      </c>
    </row>
    <row r="15" spans="1:11" x14ac:dyDescent="0.2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">
      <c r="A16" t="s">
        <v>30</v>
      </c>
      <c r="B16" s="4">
        <f>B13-B7</f>
        <v>-1358.4900000000002</v>
      </c>
      <c r="C16" s="4">
        <f t="shared" ref="C16:K16" si="0">C13-C7</f>
        <v>-1233.48</v>
      </c>
      <c r="D16" s="4">
        <f t="shared" si="0"/>
        <v>-1455.4299999999998</v>
      </c>
      <c r="E16" s="4">
        <f t="shared" si="0"/>
        <v>-2127.9900000000002</v>
      </c>
      <c r="F16" s="4">
        <f t="shared" si="0"/>
        <v>-2114.9299999999998</v>
      </c>
      <c r="G16" s="4">
        <f t="shared" si="0"/>
        <v>-1802.04</v>
      </c>
      <c r="H16" s="4">
        <f t="shared" si="0"/>
        <v>-1449.9099999999999</v>
      </c>
      <c r="I16" s="4">
        <f t="shared" si="0"/>
        <v>-1449.9099999999999</v>
      </c>
      <c r="J16" s="4">
        <f t="shared" si="0"/>
        <v>-1980.4100000000008</v>
      </c>
      <c r="K16" s="4">
        <f t="shared" si="0"/>
        <v>-2067.7700000000004</v>
      </c>
    </row>
    <row r="17" spans="1:11" x14ac:dyDescent="0.2">
      <c r="A17" t="s">
        <v>44</v>
      </c>
      <c r="B17" s="4">
        <f>'Data Sheet'!B67</f>
        <v>97.93</v>
      </c>
      <c r="C17" s="4">
        <f>'Data Sheet'!C67</f>
        <v>88.97</v>
      </c>
      <c r="D17" s="4">
        <f>'Data Sheet'!D67</f>
        <v>124.59</v>
      </c>
      <c r="E17" s="4">
        <f>'Data Sheet'!E67</f>
        <v>124.33</v>
      </c>
      <c r="F17" s="4">
        <f>'Data Sheet'!F67</f>
        <v>164.93</v>
      </c>
      <c r="G17" s="4">
        <f>'Data Sheet'!G67</f>
        <v>165.97</v>
      </c>
      <c r="H17" s="4">
        <f>'Data Sheet'!H67</f>
        <v>191.89</v>
      </c>
      <c r="I17" s="4">
        <f>'Data Sheet'!I67</f>
        <v>191.89</v>
      </c>
      <c r="J17" s="4">
        <f>'Data Sheet'!J67</f>
        <v>300.45999999999998</v>
      </c>
      <c r="K17" s="4">
        <f>'Data Sheet'!K67</f>
        <v>363.15</v>
      </c>
    </row>
    <row r="18" spans="1:11" x14ac:dyDescent="0.2">
      <c r="A18" t="s">
        <v>45</v>
      </c>
      <c r="B18" s="4">
        <f>'Data Sheet'!B68</f>
        <v>940.06</v>
      </c>
      <c r="C18" s="4">
        <f>'Data Sheet'!C68</f>
        <v>902.47</v>
      </c>
      <c r="D18" s="4">
        <f>'Data Sheet'!D68</f>
        <v>965.55</v>
      </c>
      <c r="E18" s="4">
        <f>'Data Sheet'!E68</f>
        <v>1283.07</v>
      </c>
      <c r="F18" s="4">
        <f>'Data Sheet'!F68</f>
        <v>1416.48</v>
      </c>
      <c r="G18" s="4">
        <f>'Data Sheet'!G68</f>
        <v>1592.65</v>
      </c>
      <c r="H18" s="4">
        <f>'Data Sheet'!H68</f>
        <v>1928.77</v>
      </c>
      <c r="I18" s="4">
        <f>'Data Sheet'!I68</f>
        <v>1928.77</v>
      </c>
      <c r="J18" s="4">
        <f>'Data Sheet'!J68</f>
        <v>2089.36</v>
      </c>
      <c r="K18" s="4">
        <f>'Data Sheet'!K68</f>
        <v>2850.14</v>
      </c>
    </row>
    <row r="20" spans="1:11" x14ac:dyDescent="0.2">
      <c r="A20" t="s">
        <v>46</v>
      </c>
      <c r="B20" s="4">
        <f>IF('Profit &amp; Loss'!B4&gt;0,'Balance Sheet'!B17/('Profit &amp; Loss'!B4/365),0)</f>
        <v>3.9101980672417835</v>
      </c>
      <c r="C20" s="4">
        <f>IF('Profit &amp; Loss'!C4&gt;0,'Balance Sheet'!C17/('Profit &amp; Loss'!C4/365),0)</f>
        <v>3.244290481138107</v>
      </c>
      <c r="D20" s="4">
        <f>IF('Profit &amp; Loss'!D4&gt;0,'Balance Sheet'!D17/('Profit &amp; Loss'!D4/365),0)</f>
        <v>4.0271220932549436</v>
      </c>
      <c r="E20" s="4">
        <f>IF('Profit &amp; Loss'!E4&gt;0,'Balance Sheet'!E17/('Profit &amp; Loss'!E4/365),0)</f>
        <v>3.6689155866730268</v>
      </c>
      <c r="F20" s="4">
        <f>IF('Profit &amp; Loss'!F4&gt;0,'Balance Sheet'!F17/('Profit &amp; Loss'!F4/365),0)</f>
        <v>4.5093119640929649</v>
      </c>
      <c r="G20" s="4">
        <f>IF('Profit &amp; Loss'!G4&gt;0,'Balance Sheet'!G17/('Profit &amp; Loss'!G4/365),0)</f>
        <v>4.1096760713105791</v>
      </c>
      <c r="H20" s="4">
        <f>IF('Profit &amp; Loss'!H4&gt;0,'Balance Sheet'!H17/('Profit &amp; Loss'!H4/365),0)</f>
        <v>4.1451154527204892</v>
      </c>
      <c r="I20" s="4">
        <f>IF('Profit &amp; Loss'!I4&gt;0,'Balance Sheet'!I17/('Profit &amp; Loss'!I4/365),0)</f>
        <v>3.6619654611712669</v>
      </c>
      <c r="J20" s="4">
        <f>IF('Profit &amp; Loss'!J4&gt;0,'Balance Sheet'!J17/('Profit &amp; Loss'!J4/365),0)</f>
        <v>4.4957118360376311</v>
      </c>
      <c r="K20" s="4">
        <f>IF('Profit &amp; Loss'!K4&gt;0,'Balance Sheet'!K17/('Profit &amp; Loss'!K4/365),0)</f>
        <v>6.5613620928284737</v>
      </c>
    </row>
    <row r="21" spans="1:11" x14ac:dyDescent="0.2">
      <c r="A21" t="s">
        <v>47</v>
      </c>
      <c r="B21" s="4">
        <f>IF('Balance Sheet'!B18&gt;0,'Profit &amp; Loss'!B4/'Balance Sheet'!B18,0)</f>
        <v>9.724209093036615</v>
      </c>
      <c r="C21" s="4">
        <f>IF('Balance Sheet'!C18&gt;0,'Profit &amp; Loss'!C4/'Balance Sheet'!C18,0)</f>
        <v>11.091338216228795</v>
      </c>
      <c r="D21" s="4">
        <f>IF('Balance Sheet'!D18&gt;0,'Profit &amp; Loss'!D4/'Balance Sheet'!D18,0)</f>
        <v>11.695168556781111</v>
      </c>
      <c r="E21" s="4">
        <f>IF('Balance Sheet'!E18&gt;0,'Profit &amp; Loss'!E4/'Balance Sheet'!E18,0)</f>
        <v>9.6400819908500708</v>
      </c>
      <c r="F21" s="4">
        <f>IF('Balance Sheet'!F18&gt;0,'Profit &amp; Loss'!F4/'Balance Sheet'!F18,0)</f>
        <v>9.4247924432395802</v>
      </c>
      <c r="G21" s="4">
        <f>IF('Balance Sheet'!G18&gt;0,'Profit &amp; Loss'!G4/'Balance Sheet'!G18,0)</f>
        <v>9.2553856779581203</v>
      </c>
      <c r="H21" s="4">
        <f>IF('Balance Sheet'!H18&gt;0,'Profit &amp; Loss'!H4/'Balance Sheet'!H18,0)</f>
        <v>8.760484661208956</v>
      </c>
      <c r="I21" s="4">
        <f>IF('Balance Sheet'!I18&gt;0,'Profit &amp; Loss'!I4/'Balance Sheet'!I18,0)</f>
        <v>9.9163197270799515</v>
      </c>
      <c r="J21" s="4">
        <f>IF('Balance Sheet'!J18&gt;0,'Profit &amp; Loss'!J4/'Balance Sheet'!J18,0)</f>
        <v>11.67529291266225</v>
      </c>
      <c r="K21" s="4">
        <f>IF('Balance Sheet'!K18&gt;0,'Profit &amp; Loss'!K4/'Balance Sheet'!K18,0)</f>
        <v>7.0879184882146147</v>
      </c>
    </row>
    <row r="23" spans="1:11" s="2" customFormat="1" x14ac:dyDescent="0.2">
      <c r="A23" s="2" t="s">
        <v>59</v>
      </c>
      <c r="B23" s="10">
        <f>IF(SUM('Balance Sheet'!B4:B5)&gt;0,'Profit &amp; Loss'!B12/SUM('Balance Sheet'!B4:B5),"")</f>
        <v>0.30507596737683296</v>
      </c>
      <c r="C23" s="10">
        <f>IF(SUM('Balance Sheet'!C4:C5)&gt;0,'Profit &amp; Loss'!C12/SUM('Balance Sheet'!C4:C5),"")</f>
        <v>0.35818089861690527</v>
      </c>
      <c r="D23" s="10">
        <f>IF(SUM('Balance Sheet'!D4:D5)&gt;0,'Profit &amp; Loss'!D12/SUM('Balance Sheet'!D4:D5),"")</f>
        <v>0.43740983303118891</v>
      </c>
      <c r="E23" s="10">
        <f>IF(SUM('Balance Sheet'!E4:E5)&gt;0,'Profit &amp; Loss'!E12/SUM('Balance Sheet'!E4:E5),"")</f>
        <v>1.0258329120784628</v>
      </c>
      <c r="F23" s="10">
        <f>IF(SUM('Balance Sheet'!F4:F5)&gt;0,'Profit &amp; Loss'!F12/SUM('Balance Sheet'!F4:F5),"")</f>
        <v>1.0312428813374666</v>
      </c>
      <c r="G23" s="10">
        <f>IF(SUM('Balance Sheet'!G4:G5)&gt;0,'Profit &amp; Loss'!G12/SUM('Balance Sheet'!G4:G5),"")</f>
        <v>1.0883845908815337</v>
      </c>
      <c r="H23" s="10">
        <f>IF(SUM('Balance Sheet'!H4:H5)&gt;0,'Profit &amp; Loss'!H12/SUM('Balance Sheet'!H4:H5),"")</f>
        <v>0.97208407714798084</v>
      </c>
      <c r="I23" s="10">
        <f>IF(SUM('Balance Sheet'!I4:I5)&gt;0,'Profit &amp; Loss'!I12/SUM('Balance Sheet'!I4:I5),"")</f>
        <v>1.2193829625442731</v>
      </c>
      <c r="J23" s="10">
        <f>IF(SUM('Balance Sheet'!J4:J5)&gt;0,'Profit &amp; Loss'!J12/SUM('Balance Sheet'!J4:J5),"")</f>
        <v>1.1771833254013153</v>
      </c>
      <c r="K23" s="10">
        <f>IF(SUM('Balance Sheet'!K4:K5)&gt;0,'Profit &amp; Loss'!K12/SUM('Balance Sheet'!K4:K5),"")</f>
        <v>0.80504718069538406</v>
      </c>
    </row>
    <row r="24" spans="1:11" s="2" customFormat="1" x14ac:dyDescent="0.2">
      <c r="A24" s="2" t="s">
        <v>60</v>
      </c>
      <c r="B24" s="10"/>
      <c r="C24" s="10">
        <f>IF((B4+B5+B6+C4+C5+C6)&gt;0,('Profit &amp; Loss'!C10+'Profit &amp; Loss'!C9)*2/(B4+B5+B6+C4+C5+C6),"")</f>
        <v>0.57041503660350223</v>
      </c>
      <c r="D24" s="10">
        <f>IF((C4+C5+C6+D4+D5+D6)&gt;0,('Profit &amp; Loss'!D10+'Profit &amp; Loss'!D9)*2/(C4+C5+C6+D4+D5+D6),"")</f>
        <v>0.70929192237958505</v>
      </c>
      <c r="E24" s="10">
        <f>IF((D4+D5+D6+E4+E5+E6)&gt;0,('Profit &amp; Loss'!E10+'Profit &amp; Loss'!E9)*2/(D4+D5+D6+E4+E5+E6),"")</f>
        <v>0.96364427191409541</v>
      </c>
      <c r="F24" s="10">
        <f>IF((E4+E5+E6+F4+F5+F6)&gt;0,('Profit &amp; Loss'!F10+'Profit &amp; Loss'!F9)*2/(E4+E5+E6+F4+F5+F6),"")</f>
        <v>1.392851795706773</v>
      </c>
      <c r="G24" s="10">
        <f>IF((F4+F5+F6+G4+G5+G6)&gt;0,('Profit &amp; Loss'!G10+'Profit &amp; Loss'!G9)*2/(F4+F5+F6+G4+G5+G6),"")</f>
        <v>1.39690889952896</v>
      </c>
      <c r="H24" s="10">
        <f>IF((G4+G5+G6+H4+H5+H6)&gt;0,('Profit &amp; Loss'!H10+'Profit &amp; Loss'!H9)*2/(G4+G5+G6+H4+H5+H6),"")</f>
        <v>1.3800786237008169</v>
      </c>
      <c r="I24" s="10">
        <f>IF((H4+H5+H6+I4+I5+I6)&gt;0,('Profit &amp; Loss'!I10+'Profit &amp; Loss'!I9)*2/(H4+H5+H6+I4+I5+I6),"")</f>
        <v>1.5230960292194349</v>
      </c>
      <c r="J24" s="10">
        <f>IF((I4+I5+I6+J4+J5+J6)&gt;0,('Profit &amp; Loss'!J10+'Profit &amp; Loss'!J9)*2/(I4+I5+I6+J4+J5+J6),"")</f>
        <v>1.6942375111260757</v>
      </c>
      <c r="K24" s="10">
        <f>IF((J4+J5+J6+K4+K5+K6)&gt;0,('Profit &amp; Loss'!K10+'Profit &amp; Loss'!K9)*2/(J4+J5+J6+K4+K5+K6),"")</f>
        <v>1.0220214907987362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0" zoomScaleNormal="150" zoomScalePageLayoutView="150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bestFit="1" customWidth="1"/>
    <col min="2" max="6" width="13.5" customWidth="1"/>
    <col min="7" max="11" width="13.5" bestFit="1" customWidth="1"/>
  </cols>
  <sheetData>
    <row r="1" spans="1:11" s="2" customFormat="1" x14ac:dyDescent="0.2">
      <c r="A1" s="2" t="str">
        <f>'Balance Sheet'!A1</f>
        <v>NESTLE INDIA LTD</v>
      </c>
      <c r="E1" t="str">
        <f>UPDATE</f>
        <v/>
      </c>
      <c r="F1"/>
      <c r="J1" s="2" t="s">
        <v>1</v>
      </c>
    </row>
    <row r="3" spans="1:11" s="2" customFormat="1" x14ac:dyDescent="0.2">
      <c r="A3" s="11" t="s">
        <v>2</v>
      </c>
      <c r="B3" s="12">
        <f>'Data Sheet'!B81</f>
        <v>42735</v>
      </c>
      <c r="C3" s="12">
        <f>'Data Sheet'!C81</f>
        <v>43100</v>
      </c>
      <c r="D3" s="12">
        <f>'Data Sheet'!D81</f>
        <v>43465</v>
      </c>
      <c r="E3" s="12">
        <f>'Data Sheet'!E81</f>
        <v>43830</v>
      </c>
      <c r="F3" s="12">
        <f>'Data Sheet'!F81</f>
        <v>44196</v>
      </c>
      <c r="G3" s="12">
        <f>'Data Sheet'!G81</f>
        <v>44561</v>
      </c>
      <c r="H3" s="12">
        <f>'Data Sheet'!H81</f>
        <v>44926</v>
      </c>
      <c r="I3" s="12">
        <f>'Data Sheet'!I81</f>
        <v>45291</v>
      </c>
      <c r="J3" s="12">
        <f>'Data Sheet'!J81</f>
        <v>45382</v>
      </c>
      <c r="K3" s="12">
        <f>'Data Sheet'!K81</f>
        <v>45747</v>
      </c>
    </row>
    <row r="4" spans="1:11" s="2" customFormat="1" x14ac:dyDescent="0.2">
      <c r="A4" s="2" t="s">
        <v>32</v>
      </c>
      <c r="B4" s="1">
        <f>'Data Sheet'!B82</f>
        <v>1465.91</v>
      </c>
      <c r="C4" s="1">
        <f>'Data Sheet'!C82</f>
        <v>1817.79</v>
      </c>
      <c r="D4" s="1">
        <f>'Data Sheet'!D82</f>
        <v>2052.4499999999998</v>
      </c>
      <c r="E4" s="1">
        <f>'Data Sheet'!E82</f>
        <v>2295.25</v>
      </c>
      <c r="F4" s="1">
        <f>'Data Sheet'!F82</f>
        <v>2454.48</v>
      </c>
      <c r="G4" s="1">
        <f>'Data Sheet'!G82</f>
        <v>2236</v>
      </c>
      <c r="H4" s="1">
        <f>'Data Sheet'!H82</f>
        <v>2737.43</v>
      </c>
      <c r="I4" s="1">
        <f>'Data Sheet'!I82</f>
        <v>3392.19</v>
      </c>
      <c r="J4" s="1">
        <f>'Data Sheet'!J82</f>
        <v>4174.79</v>
      </c>
      <c r="K4" s="1">
        <f>'Data Sheet'!K82</f>
        <v>2936.35</v>
      </c>
    </row>
    <row r="5" spans="1:11" x14ac:dyDescent="0.2">
      <c r="A5" t="s">
        <v>33</v>
      </c>
      <c r="B5" s="6">
        <f>'Data Sheet'!B83</f>
        <v>-125.9</v>
      </c>
      <c r="C5" s="6">
        <f>'Data Sheet'!C83</f>
        <v>-130.56</v>
      </c>
      <c r="D5" s="6">
        <f>'Data Sheet'!D83</f>
        <v>-52.41</v>
      </c>
      <c r="E5" s="6">
        <f>'Data Sheet'!E83</f>
        <v>82.99</v>
      </c>
      <c r="F5" s="6">
        <f>'Data Sheet'!F83</f>
        <v>-321.45999999999998</v>
      </c>
      <c r="G5" s="6">
        <f>'Data Sheet'!G83</f>
        <v>-1920.33</v>
      </c>
      <c r="H5" s="6">
        <f>'Data Sheet'!H83</f>
        <v>-391.73</v>
      </c>
      <c r="I5" s="6">
        <f>'Data Sheet'!I83</f>
        <v>-926.99</v>
      </c>
      <c r="J5" s="6">
        <f>'Data Sheet'!J83</f>
        <v>-1237.42</v>
      </c>
      <c r="K5" s="6">
        <f>'Data Sheet'!K83</f>
        <v>-1810.9</v>
      </c>
    </row>
    <row r="6" spans="1:11" x14ac:dyDescent="0.2">
      <c r="A6" t="s">
        <v>34</v>
      </c>
      <c r="B6" s="6">
        <f>'Data Sheet'!B84</f>
        <v>-665.61</v>
      </c>
      <c r="C6" s="6">
        <f>'Data Sheet'!C84</f>
        <v>-996.62</v>
      </c>
      <c r="D6" s="6">
        <f>'Data Sheet'!D84</f>
        <v>-1317.42</v>
      </c>
      <c r="E6" s="6">
        <f>'Data Sheet'!E84</f>
        <v>-3601.53</v>
      </c>
      <c r="F6" s="6">
        <f>'Data Sheet'!F84</f>
        <v>-1955.89</v>
      </c>
      <c r="G6" s="6">
        <f>'Data Sheet'!G84</f>
        <v>-2019.97</v>
      </c>
      <c r="H6" s="6">
        <f>'Data Sheet'!H84</f>
        <v>-2122.7399999999998</v>
      </c>
      <c r="I6" s="6">
        <f>'Data Sheet'!I84</f>
        <v>-2436.4699999999998</v>
      </c>
      <c r="J6" s="6">
        <f>'Data Sheet'!J84</f>
        <v>-3134.92</v>
      </c>
      <c r="K6" s="6">
        <f>'Data Sheet'!K84</f>
        <v>-1848.12</v>
      </c>
    </row>
    <row r="7" spans="1:11" s="2" customFormat="1" x14ac:dyDescent="0.2">
      <c r="A7" s="2" t="s">
        <v>35</v>
      </c>
      <c r="B7" s="1">
        <f>'Data Sheet'!B85</f>
        <v>674.4</v>
      </c>
      <c r="C7" s="1">
        <f>'Data Sheet'!C85</f>
        <v>690.61</v>
      </c>
      <c r="D7" s="1">
        <f>'Data Sheet'!D85</f>
        <v>682.62</v>
      </c>
      <c r="E7" s="1">
        <f>'Data Sheet'!E85</f>
        <v>-1223.29</v>
      </c>
      <c r="F7" s="1">
        <f>'Data Sheet'!F85</f>
        <v>177.13</v>
      </c>
      <c r="G7" s="1">
        <f>'Data Sheet'!G85</f>
        <v>-1704.3</v>
      </c>
      <c r="H7" s="1">
        <f>'Data Sheet'!H85</f>
        <v>222.96</v>
      </c>
      <c r="I7" s="1">
        <f>'Data Sheet'!I85</f>
        <v>28.73</v>
      </c>
      <c r="J7" s="1">
        <f>'Data Sheet'!J85</f>
        <v>-197.55</v>
      </c>
      <c r="K7" s="1">
        <f>'Data Sheet'!K85</f>
        <v>-722.67</v>
      </c>
    </row>
    <row r="8" spans="1:11" x14ac:dyDescent="0.2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2"/>
    <col min="2" max="2" width="10.5" customWidth="1"/>
    <col min="3" max="3" width="13.33203125" style="20" customWidth="1"/>
    <col min="6" max="6" width="6.83203125" customWidth="1"/>
  </cols>
  <sheetData>
    <row r="1" spans="1:7" ht="21" x14ac:dyDescent="0.25">
      <c r="A1" s="19" t="s">
        <v>56</v>
      </c>
    </row>
    <row r="3" spans="1:7" x14ac:dyDescent="0.2">
      <c r="A3" s="2" t="s">
        <v>48</v>
      </c>
    </row>
    <row r="4" spans="1:7" x14ac:dyDescent="0.2">
      <c r="B4" t="s">
        <v>90</v>
      </c>
    </row>
    <row r="5" spans="1:7" x14ac:dyDescent="0.2">
      <c r="B5" t="s">
        <v>49</v>
      </c>
    </row>
    <row r="7" spans="1:7" x14ac:dyDescent="0.2">
      <c r="A7" s="2" t="s">
        <v>50</v>
      </c>
    </row>
    <row r="8" spans="1:7" x14ac:dyDescent="0.2">
      <c r="B8" t="s">
        <v>51</v>
      </c>
      <c r="C8" s="21" t="s">
        <v>91</v>
      </c>
    </row>
    <row r="10" spans="1:7" x14ac:dyDescent="0.2">
      <c r="A10" s="2" t="s">
        <v>52</v>
      </c>
    </row>
    <row r="11" spans="1:7" x14ac:dyDescent="0.2">
      <c r="B11" t="s">
        <v>53</v>
      </c>
    </row>
    <row r="14" spans="1:7" x14ac:dyDescent="0.2">
      <c r="A14" s="2" t="s">
        <v>54</v>
      </c>
    </row>
    <row r="15" spans="1:7" x14ac:dyDescent="0.2">
      <c r="B15" t="s">
        <v>55</v>
      </c>
    </row>
    <row r="16" spans="1:7" x14ac:dyDescent="0.2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85FD-6BDD-8F4E-A022-11C0CE519CD1}">
  <dimension ref="A2:M34"/>
  <sheetViews>
    <sheetView zoomScale="50" workbookViewId="0">
      <selection activeCell="A27" sqref="A27"/>
    </sheetView>
  </sheetViews>
  <sheetFormatPr baseColWidth="10" defaultColWidth="10.83203125" defaultRowHeight="15" x14ac:dyDescent="0.2"/>
  <cols>
    <col min="1" max="1" width="30.83203125" customWidth="1"/>
  </cols>
  <sheetData>
    <row r="2" spans="1:13" ht="23" x14ac:dyDescent="0.25">
      <c r="A2" s="46" t="s">
        <v>185</v>
      </c>
    </row>
    <row r="3" spans="1:13" x14ac:dyDescent="0.2">
      <c r="A3" s="47" t="s">
        <v>186</v>
      </c>
    </row>
    <row r="4" spans="1:13" x14ac:dyDescent="0.2">
      <c r="A4" s="48"/>
      <c r="B4" s="49">
        <v>41974</v>
      </c>
      <c r="C4" s="49">
        <v>42339</v>
      </c>
      <c r="D4" s="49">
        <v>42705</v>
      </c>
      <c r="E4" s="49">
        <v>43070</v>
      </c>
      <c r="F4" s="49">
        <v>43435</v>
      </c>
      <c r="G4" s="49">
        <v>43800</v>
      </c>
      <c r="H4" s="49">
        <v>44166</v>
      </c>
      <c r="I4" s="49">
        <v>44531</v>
      </c>
      <c r="J4" s="49">
        <v>44896</v>
      </c>
      <c r="K4" s="49">
        <v>45261</v>
      </c>
      <c r="L4" s="49">
        <v>45352</v>
      </c>
      <c r="M4" s="49">
        <v>45717</v>
      </c>
    </row>
    <row r="5" spans="1:13" x14ac:dyDescent="0.2">
      <c r="A5" s="50" t="s">
        <v>187</v>
      </c>
      <c r="B5" s="51">
        <v>1644</v>
      </c>
      <c r="C5" s="51">
        <v>1098</v>
      </c>
      <c r="D5" s="51">
        <v>1466</v>
      </c>
      <c r="E5" s="51">
        <v>1818</v>
      </c>
      <c r="F5" s="51">
        <v>2052</v>
      </c>
      <c r="G5" s="51">
        <v>2295</v>
      </c>
      <c r="H5" s="51">
        <v>2454</v>
      </c>
      <c r="I5" s="51">
        <v>2236</v>
      </c>
      <c r="J5" s="51">
        <v>2737</v>
      </c>
      <c r="K5" s="51">
        <v>3392</v>
      </c>
      <c r="L5" s="51">
        <v>4175</v>
      </c>
      <c r="M5" s="51">
        <v>2936</v>
      </c>
    </row>
    <row r="6" spans="1:13" x14ac:dyDescent="0.2">
      <c r="A6" s="50" t="s">
        <v>123</v>
      </c>
      <c r="B6" s="51">
        <v>2051</v>
      </c>
      <c r="C6" s="51">
        <v>1109</v>
      </c>
      <c r="D6" s="51">
        <v>1765</v>
      </c>
      <c r="E6" s="51">
        <v>2047</v>
      </c>
      <c r="F6" s="51">
        <v>2521</v>
      </c>
      <c r="G6" s="51">
        <v>2805</v>
      </c>
      <c r="H6" s="51">
        <v>3061</v>
      </c>
      <c r="I6" s="51">
        <v>3136</v>
      </c>
      <c r="J6" s="51">
        <v>3609</v>
      </c>
      <c r="K6" s="51">
        <v>4388</v>
      </c>
      <c r="L6" s="51">
        <v>5722</v>
      </c>
      <c r="M6" s="51">
        <v>4672</v>
      </c>
    </row>
    <row r="7" spans="1:13" x14ac:dyDescent="0.2">
      <c r="A7" s="52" t="s">
        <v>78</v>
      </c>
      <c r="B7" s="52">
        <v>-14</v>
      </c>
      <c r="C7" s="52">
        <v>21</v>
      </c>
      <c r="D7" s="52">
        <v>-19</v>
      </c>
      <c r="E7" s="52">
        <v>8</v>
      </c>
      <c r="F7" s="52">
        <v>-36</v>
      </c>
      <c r="G7" s="52">
        <v>0</v>
      </c>
      <c r="H7" s="52">
        <v>-42</v>
      </c>
      <c r="I7" s="52">
        <v>-2</v>
      </c>
      <c r="J7" s="52">
        <v>-28</v>
      </c>
      <c r="K7" s="52">
        <v>-11</v>
      </c>
      <c r="L7" s="52">
        <v>-109</v>
      </c>
      <c r="M7" s="52">
        <v>-70</v>
      </c>
    </row>
    <row r="8" spans="1:13" x14ac:dyDescent="0.2">
      <c r="A8" s="52" t="s">
        <v>45</v>
      </c>
      <c r="B8" s="52">
        <v>-108</v>
      </c>
      <c r="C8" s="52">
        <v>23</v>
      </c>
      <c r="D8" s="52">
        <v>-119</v>
      </c>
      <c r="E8" s="52">
        <v>38</v>
      </c>
      <c r="F8" s="52">
        <v>-63</v>
      </c>
      <c r="G8" s="52">
        <v>-318</v>
      </c>
      <c r="H8" s="52">
        <v>-133</v>
      </c>
      <c r="I8" s="52">
        <v>-169</v>
      </c>
      <c r="J8" s="52">
        <v>-336</v>
      </c>
      <c r="K8" s="52">
        <v>56</v>
      </c>
      <c r="L8" s="52">
        <v>-161</v>
      </c>
      <c r="M8" s="52">
        <v>-767</v>
      </c>
    </row>
    <row r="9" spans="1:13" x14ac:dyDescent="0.2">
      <c r="A9" s="52" t="s">
        <v>124</v>
      </c>
      <c r="B9" s="52">
        <v>118</v>
      </c>
      <c r="C9" s="52">
        <v>79</v>
      </c>
      <c r="D9" s="52">
        <v>50</v>
      </c>
      <c r="E9" s="52">
        <v>185</v>
      </c>
      <c r="F9" s="52">
        <v>257</v>
      </c>
      <c r="G9" s="52">
        <v>253</v>
      </c>
      <c r="H9" s="52">
        <v>23</v>
      </c>
      <c r="I9" s="52">
        <v>217</v>
      </c>
      <c r="J9" s="52">
        <v>178</v>
      </c>
      <c r="K9" s="52">
        <v>68</v>
      </c>
      <c r="L9" s="52">
        <v>310</v>
      </c>
      <c r="M9" s="52">
        <v>134</v>
      </c>
    </row>
    <row r="10" spans="1:13" x14ac:dyDescent="0.2">
      <c r="A10" s="52" t="s">
        <v>125</v>
      </c>
      <c r="B10" s="52">
        <v>34</v>
      </c>
      <c r="C10" s="52">
        <v>-3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-40</v>
      </c>
      <c r="J10" s="52">
        <v>-30</v>
      </c>
      <c r="K10" s="52">
        <v>-30</v>
      </c>
      <c r="L10" s="52">
        <v>-21</v>
      </c>
      <c r="M10" s="52">
        <v>-199</v>
      </c>
    </row>
    <row r="11" spans="1:13" x14ac:dyDescent="0.2">
      <c r="A11" s="52" t="s">
        <v>188</v>
      </c>
      <c r="B11" s="52">
        <v>0</v>
      </c>
      <c r="C11" s="52">
        <v>2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</row>
    <row r="12" spans="1:13" x14ac:dyDescent="0.2">
      <c r="A12" s="52" t="s">
        <v>126</v>
      </c>
      <c r="B12" s="52">
        <v>153</v>
      </c>
      <c r="C12" s="52">
        <v>210</v>
      </c>
      <c r="D12" s="52">
        <v>293</v>
      </c>
      <c r="E12" s="52">
        <v>144</v>
      </c>
      <c r="F12" s="52">
        <v>255</v>
      </c>
      <c r="G12" s="52">
        <v>227</v>
      </c>
      <c r="H12" s="52">
        <v>249</v>
      </c>
      <c r="I12" s="52">
        <v>-179</v>
      </c>
      <c r="J12" s="52">
        <v>185</v>
      </c>
      <c r="K12" s="52">
        <v>-19</v>
      </c>
      <c r="L12" s="52">
        <v>-268</v>
      </c>
      <c r="M12" s="52">
        <v>191</v>
      </c>
    </row>
    <row r="13" spans="1:13" x14ac:dyDescent="0.2">
      <c r="A13" s="50" t="s">
        <v>127</v>
      </c>
      <c r="B13" s="50">
        <v>182</v>
      </c>
      <c r="C13" s="50">
        <v>332</v>
      </c>
      <c r="D13" s="50">
        <v>204</v>
      </c>
      <c r="E13" s="50">
        <v>375</v>
      </c>
      <c r="F13" s="50">
        <v>413</v>
      </c>
      <c r="G13" s="50">
        <v>163</v>
      </c>
      <c r="H13" s="50">
        <v>97</v>
      </c>
      <c r="I13" s="50">
        <v>-172</v>
      </c>
      <c r="J13" s="50">
        <v>-30</v>
      </c>
      <c r="K13" s="50">
        <v>63</v>
      </c>
      <c r="L13" s="50">
        <v>-249</v>
      </c>
      <c r="M13" s="50">
        <v>-711</v>
      </c>
    </row>
    <row r="14" spans="1:13" x14ac:dyDescent="0.2">
      <c r="A14" s="52" t="s">
        <v>128</v>
      </c>
      <c r="B14" s="52">
        <v>-589</v>
      </c>
      <c r="C14" s="52">
        <v>-342</v>
      </c>
      <c r="D14" s="52">
        <v>-503</v>
      </c>
      <c r="E14" s="52">
        <v>-604</v>
      </c>
      <c r="F14" s="52">
        <v>-881</v>
      </c>
      <c r="G14" s="52">
        <v>-673</v>
      </c>
      <c r="H14" s="52">
        <v>-703</v>
      </c>
      <c r="I14" s="52">
        <v>-729</v>
      </c>
      <c r="J14" s="52">
        <v>-841</v>
      </c>
      <c r="K14" s="53">
        <v>-1059</v>
      </c>
      <c r="L14" s="53">
        <v>-1299</v>
      </c>
      <c r="M14" s="53">
        <v>-1024</v>
      </c>
    </row>
    <row r="15" spans="1:13" x14ac:dyDescent="0.2">
      <c r="A15" s="50" t="s">
        <v>189</v>
      </c>
      <c r="B15" s="50">
        <v>-432</v>
      </c>
      <c r="C15" s="50">
        <v>-70</v>
      </c>
      <c r="D15" s="50">
        <v>-126</v>
      </c>
      <c r="E15" s="50">
        <v>-131</v>
      </c>
      <c r="F15" s="50">
        <v>-52</v>
      </c>
      <c r="G15" s="50">
        <v>83</v>
      </c>
      <c r="H15" s="50">
        <v>-321</v>
      </c>
      <c r="I15" s="51">
        <v>-1920</v>
      </c>
      <c r="J15" s="50">
        <v>-392</v>
      </c>
      <c r="K15" s="50">
        <v>-927</v>
      </c>
      <c r="L15" s="51">
        <v>-1237</v>
      </c>
      <c r="M15" s="51">
        <v>-1811</v>
      </c>
    </row>
    <row r="16" spans="1:13" x14ac:dyDescent="0.2">
      <c r="A16" s="52" t="s">
        <v>129</v>
      </c>
      <c r="B16" s="52">
        <v>-415</v>
      </c>
      <c r="C16" s="52">
        <v>-151</v>
      </c>
      <c r="D16" s="52">
        <v>-207</v>
      </c>
      <c r="E16" s="52">
        <v>-199</v>
      </c>
      <c r="F16" s="52">
        <v>-166</v>
      </c>
      <c r="G16" s="52">
        <v>-155</v>
      </c>
      <c r="H16" s="52">
        <v>-478</v>
      </c>
      <c r="I16" s="52">
        <v>-735</v>
      </c>
      <c r="J16" s="52">
        <v>-550</v>
      </c>
      <c r="K16" s="53">
        <v>-1371</v>
      </c>
      <c r="L16" s="53">
        <v>-1883</v>
      </c>
      <c r="M16" s="53">
        <v>-2009</v>
      </c>
    </row>
    <row r="17" spans="1:13" x14ac:dyDescent="0.2">
      <c r="A17" s="52" t="s">
        <v>130</v>
      </c>
      <c r="B17" s="52">
        <v>10</v>
      </c>
      <c r="C17" s="52">
        <v>1</v>
      </c>
      <c r="D17" s="52">
        <v>94</v>
      </c>
      <c r="E17" s="52">
        <v>3</v>
      </c>
      <c r="F17" s="52">
        <v>3</v>
      </c>
      <c r="G17" s="52">
        <v>2</v>
      </c>
      <c r="H17" s="52">
        <v>4</v>
      </c>
      <c r="I17" s="52">
        <v>4</v>
      </c>
      <c r="J17" s="52">
        <v>9</v>
      </c>
      <c r="K17" s="52">
        <v>7</v>
      </c>
      <c r="L17" s="52">
        <v>4</v>
      </c>
      <c r="M17" s="52">
        <v>4</v>
      </c>
    </row>
    <row r="18" spans="1:13" x14ac:dyDescent="0.2">
      <c r="A18" s="52" t="s">
        <v>131</v>
      </c>
      <c r="B18" s="52">
        <v>-80</v>
      </c>
      <c r="C18" s="52">
        <v>-37</v>
      </c>
      <c r="D18" s="52">
        <v>-153</v>
      </c>
      <c r="E18" s="52">
        <v>-112</v>
      </c>
      <c r="F18" s="52">
        <v>-160</v>
      </c>
      <c r="G18" s="52">
        <v>-16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</row>
    <row r="19" spans="1:13" x14ac:dyDescent="0.2">
      <c r="A19" s="52" t="s">
        <v>132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25</v>
      </c>
      <c r="K19" s="52">
        <v>312</v>
      </c>
      <c r="L19" s="52">
        <v>284</v>
      </c>
      <c r="M19" s="52">
        <v>424</v>
      </c>
    </row>
    <row r="20" spans="1:13" x14ac:dyDescent="0.2">
      <c r="A20" s="52" t="s">
        <v>133</v>
      </c>
      <c r="B20" s="52">
        <v>66</v>
      </c>
      <c r="C20" s="52">
        <v>99</v>
      </c>
      <c r="D20" s="52">
        <v>126</v>
      </c>
      <c r="E20" s="52">
        <v>154</v>
      </c>
      <c r="F20" s="52">
        <v>237</v>
      </c>
      <c r="G20" s="52">
        <v>238</v>
      </c>
      <c r="H20" s="52">
        <v>148</v>
      </c>
      <c r="I20" s="52">
        <v>125</v>
      </c>
      <c r="J20" s="52">
        <v>103</v>
      </c>
      <c r="K20" s="52">
        <v>0</v>
      </c>
      <c r="L20" s="52">
        <v>167</v>
      </c>
      <c r="M20" s="52">
        <v>76</v>
      </c>
    </row>
    <row r="21" spans="1:13" x14ac:dyDescent="0.2">
      <c r="A21" s="52" t="s">
        <v>134</v>
      </c>
      <c r="B21" s="52">
        <v>10</v>
      </c>
      <c r="C21" s="52">
        <v>12</v>
      </c>
      <c r="D21" s="52">
        <v>13</v>
      </c>
      <c r="E21" s="52">
        <v>16</v>
      </c>
      <c r="F21" s="52">
        <v>19</v>
      </c>
      <c r="G21" s="52">
        <v>13</v>
      </c>
      <c r="H21" s="52">
        <v>2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</row>
    <row r="22" spans="1:13" x14ac:dyDescent="0.2">
      <c r="A22" s="52" t="s">
        <v>135</v>
      </c>
      <c r="B22" s="52">
        <v>0</v>
      </c>
      <c r="C22" s="52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-706</v>
      </c>
    </row>
    <row r="23" spans="1:13" x14ac:dyDescent="0.2">
      <c r="A23" s="52" t="s">
        <v>136</v>
      </c>
      <c r="B23" s="52">
        <v>-23</v>
      </c>
      <c r="C23" s="52">
        <v>6</v>
      </c>
      <c r="D23" s="52">
        <v>1</v>
      </c>
      <c r="E23" s="52">
        <v>7</v>
      </c>
      <c r="F23" s="52">
        <v>15</v>
      </c>
      <c r="G23" s="52">
        <v>0</v>
      </c>
      <c r="H23" s="52">
        <v>3</v>
      </c>
      <c r="I23" s="53">
        <v>-1314</v>
      </c>
      <c r="J23" s="52">
        <v>20</v>
      </c>
      <c r="K23" s="52">
        <v>126</v>
      </c>
      <c r="L23" s="52">
        <v>190</v>
      </c>
      <c r="M23" s="52">
        <v>400</v>
      </c>
    </row>
    <row r="24" spans="1:13" x14ac:dyDescent="0.2">
      <c r="A24" s="50" t="s">
        <v>190</v>
      </c>
      <c r="B24" s="51">
        <v>-1635</v>
      </c>
      <c r="C24" s="50">
        <v>-498</v>
      </c>
      <c r="D24" s="50">
        <v>-666</v>
      </c>
      <c r="E24" s="50">
        <v>-997</v>
      </c>
      <c r="F24" s="51">
        <v>-1317</v>
      </c>
      <c r="G24" s="51">
        <v>-3602</v>
      </c>
      <c r="H24" s="51">
        <v>-1956</v>
      </c>
      <c r="I24" s="51">
        <v>-2020</v>
      </c>
      <c r="J24" s="51">
        <v>-2123</v>
      </c>
      <c r="K24" s="51">
        <v>-2436</v>
      </c>
      <c r="L24" s="51">
        <v>-3135</v>
      </c>
      <c r="M24" s="51">
        <v>-1848</v>
      </c>
    </row>
    <row r="25" spans="1:13" x14ac:dyDescent="0.2">
      <c r="A25" s="52" t="s">
        <v>138</v>
      </c>
      <c r="B25" s="52">
        <v>4</v>
      </c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24</v>
      </c>
      <c r="J25" s="52">
        <v>0</v>
      </c>
      <c r="K25" s="52">
        <v>0</v>
      </c>
      <c r="L25" s="52">
        <v>0</v>
      </c>
      <c r="M25" s="52">
        <v>726</v>
      </c>
    </row>
    <row r="26" spans="1:13" x14ac:dyDescent="0.2">
      <c r="A26" s="52" t="s">
        <v>139</v>
      </c>
      <c r="B26" s="52">
        <v>0</v>
      </c>
      <c r="C26" s="52">
        <v>-3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-24</v>
      </c>
      <c r="J26" s="52">
        <v>0</v>
      </c>
      <c r="K26" s="52">
        <v>0</v>
      </c>
      <c r="L26" s="52">
        <v>0</v>
      </c>
      <c r="M26" s="52">
        <v>0</v>
      </c>
    </row>
    <row r="27" spans="1:13" x14ac:dyDescent="0.2">
      <c r="A27" s="52" t="s">
        <v>191</v>
      </c>
      <c r="B27" s="52">
        <v>0</v>
      </c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</row>
    <row r="28" spans="1:13" x14ac:dyDescent="0.2">
      <c r="A28" s="52" t="s">
        <v>140</v>
      </c>
      <c r="B28" s="52">
        <v>-15</v>
      </c>
      <c r="C28" s="52">
        <v>-3</v>
      </c>
      <c r="D28" s="52">
        <v>-4</v>
      </c>
      <c r="E28" s="52">
        <v>-1</v>
      </c>
      <c r="F28" s="52">
        <v>-4</v>
      </c>
      <c r="G28" s="52">
        <v>-63</v>
      </c>
      <c r="H28" s="52">
        <v>-69</v>
      </c>
      <c r="I28" s="52">
        <v>-9</v>
      </c>
      <c r="J28" s="52">
        <v>-18</v>
      </c>
      <c r="K28" s="52">
        <v>-20</v>
      </c>
      <c r="L28" s="52">
        <v>-26</v>
      </c>
      <c r="M28" s="52">
        <v>-34</v>
      </c>
    </row>
    <row r="29" spans="1:13" x14ac:dyDescent="0.2">
      <c r="A29" s="52" t="s">
        <v>141</v>
      </c>
      <c r="B29" s="52">
        <v>-607</v>
      </c>
      <c r="C29" s="52">
        <v>-410</v>
      </c>
      <c r="D29" s="52">
        <v>-564</v>
      </c>
      <c r="E29" s="52">
        <v>-829</v>
      </c>
      <c r="F29" s="53">
        <v>-1090</v>
      </c>
      <c r="G29" s="53">
        <v>-2950</v>
      </c>
      <c r="H29" s="53">
        <v>-1890</v>
      </c>
      <c r="I29" s="53">
        <v>-1928</v>
      </c>
      <c r="J29" s="53">
        <v>-2025</v>
      </c>
      <c r="K29" s="53">
        <v>-2333</v>
      </c>
      <c r="L29" s="53">
        <v>-3008</v>
      </c>
      <c r="M29" s="53">
        <v>-2459</v>
      </c>
    </row>
    <row r="30" spans="1:13" x14ac:dyDescent="0.2">
      <c r="A30" s="52" t="s">
        <v>142</v>
      </c>
      <c r="B30" s="52">
        <v>0</v>
      </c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-79</v>
      </c>
      <c r="J30" s="52">
        <v>-73</v>
      </c>
      <c r="K30" s="52">
        <v>-166</v>
      </c>
      <c r="L30" s="52">
        <v>-100</v>
      </c>
      <c r="M30" s="52">
        <v>-76</v>
      </c>
    </row>
    <row r="31" spans="1:13" x14ac:dyDescent="0.2">
      <c r="A31" s="52" t="s">
        <v>143</v>
      </c>
      <c r="B31" s="53">
        <v>-1017</v>
      </c>
      <c r="C31" s="52">
        <v>-82</v>
      </c>
      <c r="D31" s="52">
        <v>-98</v>
      </c>
      <c r="E31" s="52">
        <v>-167</v>
      </c>
      <c r="F31" s="52">
        <v>-224</v>
      </c>
      <c r="G31" s="52">
        <v>-588</v>
      </c>
      <c r="H31" s="52">
        <v>3</v>
      </c>
      <c r="I31" s="52">
        <v>-3</v>
      </c>
      <c r="J31" s="52">
        <v>-7</v>
      </c>
      <c r="K31" s="52">
        <v>83</v>
      </c>
      <c r="L31" s="52">
        <v>-1</v>
      </c>
      <c r="M31" s="52">
        <v>-5</v>
      </c>
    </row>
    <row r="32" spans="1:13" x14ac:dyDescent="0.2">
      <c r="A32" s="50" t="s">
        <v>35</v>
      </c>
      <c r="B32" s="50">
        <v>-423</v>
      </c>
      <c r="C32" s="50">
        <v>529</v>
      </c>
      <c r="D32" s="50">
        <v>674</v>
      </c>
      <c r="E32" s="50">
        <v>691</v>
      </c>
      <c r="F32" s="50">
        <v>683</v>
      </c>
      <c r="G32" s="51">
        <v>-1223</v>
      </c>
      <c r="H32" s="50">
        <v>177</v>
      </c>
      <c r="I32" s="51">
        <v>-1704</v>
      </c>
      <c r="J32" s="50">
        <v>223</v>
      </c>
      <c r="K32" s="50">
        <v>29</v>
      </c>
      <c r="L32" s="50">
        <v>-198</v>
      </c>
      <c r="M32" s="50">
        <v>-723</v>
      </c>
    </row>
    <row r="33" spans="1:13" x14ac:dyDescent="0.2">
      <c r="A33" s="38" t="s">
        <v>192</v>
      </c>
      <c r="B33" s="54">
        <v>1240</v>
      </c>
      <c r="C33" s="38">
        <v>949</v>
      </c>
      <c r="D33" s="54">
        <v>1353</v>
      </c>
      <c r="E33" s="54">
        <v>1622</v>
      </c>
      <c r="F33" s="54">
        <v>1890</v>
      </c>
      <c r="G33" s="54">
        <v>2143</v>
      </c>
      <c r="H33" s="54">
        <v>1980</v>
      </c>
      <c r="I33" s="54">
        <v>1505</v>
      </c>
      <c r="J33" s="54">
        <v>2197</v>
      </c>
      <c r="K33" s="54">
        <v>2028</v>
      </c>
      <c r="L33" s="54">
        <v>2296</v>
      </c>
      <c r="M33" s="38">
        <v>932</v>
      </c>
    </row>
    <row r="34" spans="1:13" x14ac:dyDescent="0.2">
      <c r="A34" s="38" t="s">
        <v>193</v>
      </c>
      <c r="B34" s="55">
        <v>1.1000000000000001</v>
      </c>
      <c r="C34" s="55">
        <v>0.93</v>
      </c>
      <c r="D34" s="55">
        <v>1.06</v>
      </c>
      <c r="E34" s="55">
        <v>1.1599999999999999</v>
      </c>
      <c r="F34" s="55">
        <v>1.1200000000000001</v>
      </c>
      <c r="G34" s="55">
        <v>1.01</v>
      </c>
      <c r="H34" s="55">
        <v>0.99</v>
      </c>
      <c r="I34" s="55">
        <v>0.83</v>
      </c>
      <c r="J34" s="55">
        <v>0.97</v>
      </c>
      <c r="K34" s="55">
        <v>1</v>
      </c>
      <c r="L34" s="55">
        <v>0.94</v>
      </c>
      <c r="M34" s="55">
        <v>0.83</v>
      </c>
    </row>
  </sheetData>
  <hyperlinks>
    <hyperlink ref="A3" r:id="rId1" location="cash-flow" display="https://www.screener.in/company/NESTLEIND/consolidated/ - cash-flow" xr:uid="{FAE5AEA1-1D19-614E-AA0E-ABDDEA8E4C9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0" zoomScaleNormal="120" zoomScalePageLayoutView="120" workbookViewId="0">
      <pane xSplit="1" ySplit="1" topLeftCell="B15" activePane="bottomRight" state="frozen"/>
      <selection activeCell="C4" sqref="C4"/>
      <selection pane="topRight" activeCell="C4" sqref="C4"/>
      <selection pane="bottomLeft" activeCell="C4" sqref="C4"/>
      <selection pane="bottomRight" activeCell="A19" sqref="A19"/>
    </sheetView>
  </sheetViews>
  <sheetFormatPr baseColWidth="10" defaultColWidth="8.83203125" defaultRowHeight="15" x14ac:dyDescent="0.2"/>
  <cols>
    <col min="1" max="1" width="27.6640625" style="4" bestFit="1" customWidth="1"/>
    <col min="2" max="11" width="13.5" style="4" bestFit="1" customWidth="1"/>
    <col min="12" max="16384" width="8.83203125" style="4"/>
  </cols>
  <sheetData>
    <row r="1" spans="1:11" s="1" customFormat="1" x14ac:dyDescent="0.2">
      <c r="A1" s="1" t="s">
        <v>0</v>
      </c>
      <c r="B1" s="1" t="s">
        <v>63</v>
      </c>
      <c r="E1" s="112" t="str">
        <f>IF(B2&lt;&gt;B3, "A NEW VERSION OF THE WORKSHEET IS AVAILABLE", "")</f>
        <v/>
      </c>
      <c r="F1" s="112"/>
      <c r="G1" s="112"/>
      <c r="H1" s="112"/>
      <c r="I1" s="112"/>
      <c r="J1" s="112"/>
      <c r="K1" s="112"/>
    </row>
    <row r="2" spans="1:11" x14ac:dyDescent="0.2">
      <c r="A2" s="1" t="s">
        <v>61</v>
      </c>
      <c r="B2" s="4">
        <v>2.1</v>
      </c>
      <c r="E2" s="113" t="s">
        <v>36</v>
      </c>
      <c r="F2" s="113"/>
      <c r="G2" s="113"/>
      <c r="H2" s="113"/>
      <c r="I2" s="113"/>
      <c r="J2" s="113"/>
      <c r="K2" s="113"/>
    </row>
    <row r="3" spans="1:11" x14ac:dyDescent="0.2">
      <c r="A3" s="1" t="s">
        <v>62</v>
      </c>
      <c r="B3" s="4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4" t="s">
        <v>42</v>
      </c>
      <c r="B6" s="4">
        <f>IF(B9&gt;0, B9/B8, 0)</f>
        <v>192.8314289117402</v>
      </c>
    </row>
    <row r="7" spans="1:11" x14ac:dyDescent="0.2">
      <c r="A7" s="4" t="s">
        <v>31</v>
      </c>
      <c r="B7">
        <v>1</v>
      </c>
    </row>
    <row r="8" spans="1:11" x14ac:dyDescent="0.2">
      <c r="A8" s="4" t="s">
        <v>43</v>
      </c>
      <c r="B8">
        <v>1259.3499999999999</v>
      </c>
    </row>
    <row r="9" spans="1:11" x14ac:dyDescent="0.2">
      <c r="A9" s="4" t="s">
        <v>79</v>
      </c>
      <c r="B9">
        <v>242842.26</v>
      </c>
    </row>
    <row r="15" spans="1:11" x14ac:dyDescent="0.2">
      <c r="A15" s="1" t="s">
        <v>37</v>
      </c>
    </row>
    <row r="16" spans="1:11" s="18" customFormat="1" x14ac:dyDescent="0.2">
      <c r="A16" s="17" t="s">
        <v>38</v>
      </c>
      <c r="B16" s="12">
        <v>42735</v>
      </c>
      <c r="C16" s="12">
        <v>43100</v>
      </c>
      <c r="D16" s="12">
        <v>43465</v>
      </c>
      <c r="E16" s="12">
        <v>43830</v>
      </c>
      <c r="F16" s="12">
        <v>44196</v>
      </c>
      <c r="G16" s="12">
        <v>44561</v>
      </c>
      <c r="H16" s="12">
        <v>44926</v>
      </c>
      <c r="I16" s="12">
        <v>45291</v>
      </c>
      <c r="J16" s="12">
        <v>45382</v>
      </c>
      <c r="K16" s="12">
        <v>45747</v>
      </c>
    </row>
    <row r="17" spans="1:11" s="6" customFormat="1" x14ac:dyDescent="0.2">
      <c r="A17" s="6" t="s">
        <v>6</v>
      </c>
      <c r="B17">
        <v>9141.34</v>
      </c>
      <c r="C17">
        <v>10009.6</v>
      </c>
      <c r="D17">
        <v>11292.27</v>
      </c>
      <c r="E17">
        <v>12368.9</v>
      </c>
      <c r="F17">
        <v>13350.03</v>
      </c>
      <c r="G17">
        <v>14740.59</v>
      </c>
      <c r="H17">
        <v>16896.96</v>
      </c>
      <c r="I17">
        <v>19126.3</v>
      </c>
      <c r="J17">
        <v>24393.89</v>
      </c>
      <c r="K17">
        <v>20201.560000000001</v>
      </c>
    </row>
    <row r="18" spans="1:11" s="6" customFormat="1" x14ac:dyDescent="0.2">
      <c r="A18" s="4" t="s">
        <v>80</v>
      </c>
      <c r="B18">
        <v>3227.26</v>
      </c>
      <c r="C18">
        <v>3696.99</v>
      </c>
      <c r="D18">
        <v>3829.22</v>
      </c>
      <c r="E18">
        <v>4520.91</v>
      </c>
      <c r="F18">
        <v>4901.74</v>
      </c>
      <c r="G18">
        <v>5301.26</v>
      </c>
      <c r="H18">
        <v>6660.42</v>
      </c>
      <c r="I18">
        <v>8472.7199999999993</v>
      </c>
      <c r="J18">
        <v>9201.11</v>
      </c>
      <c r="K18">
        <v>7646.63</v>
      </c>
    </row>
    <row r="19" spans="1:11" s="6" customFormat="1" x14ac:dyDescent="0.2">
      <c r="A19" s="4" t="s">
        <v>81</v>
      </c>
      <c r="B19">
        <v>7.66</v>
      </c>
      <c r="C19">
        <v>79.56</v>
      </c>
      <c r="D19">
        <v>6.01</v>
      </c>
      <c r="E19">
        <v>144.19</v>
      </c>
      <c r="F19">
        <v>69.33</v>
      </c>
      <c r="G19">
        <v>67.59</v>
      </c>
      <c r="H19">
        <v>250.27</v>
      </c>
      <c r="I19">
        <v>40.01</v>
      </c>
      <c r="J19">
        <v>45.68</v>
      </c>
      <c r="K19">
        <v>139.66</v>
      </c>
    </row>
    <row r="20" spans="1:11" s="6" customFormat="1" x14ac:dyDescent="0.2">
      <c r="A20" s="4" t="s">
        <v>82</v>
      </c>
      <c r="B20">
        <v>232.79</v>
      </c>
      <c r="C20">
        <v>288.44</v>
      </c>
      <c r="D20">
        <v>344.18</v>
      </c>
      <c r="E20">
        <v>340.53</v>
      </c>
      <c r="F20">
        <v>313.68</v>
      </c>
      <c r="G20">
        <v>408.06</v>
      </c>
      <c r="H20">
        <v>572.61</v>
      </c>
      <c r="J20">
        <v>674.83</v>
      </c>
      <c r="K20">
        <v>536.65</v>
      </c>
    </row>
    <row r="21" spans="1:11" s="6" customFormat="1" x14ac:dyDescent="0.2">
      <c r="A21" s="4" t="s">
        <v>83</v>
      </c>
      <c r="B21">
        <v>850.85</v>
      </c>
      <c r="C21">
        <v>897.84</v>
      </c>
      <c r="D21">
        <v>949.86</v>
      </c>
      <c r="E21">
        <v>1028.55</v>
      </c>
      <c r="F21">
        <v>1040.3599999999999</v>
      </c>
      <c r="G21">
        <v>1349.48</v>
      </c>
      <c r="H21">
        <v>1603.48</v>
      </c>
      <c r="J21">
        <v>1935.4</v>
      </c>
      <c r="K21">
        <v>1579.8</v>
      </c>
    </row>
    <row r="22" spans="1:11" s="6" customFormat="1" x14ac:dyDescent="0.2">
      <c r="A22" s="4" t="s">
        <v>84</v>
      </c>
      <c r="B22">
        <v>901.57</v>
      </c>
      <c r="C22">
        <v>1017.45</v>
      </c>
      <c r="D22">
        <v>1124.1500000000001</v>
      </c>
      <c r="E22">
        <v>1258.17</v>
      </c>
      <c r="F22">
        <v>1500.95</v>
      </c>
      <c r="G22">
        <v>1529.94</v>
      </c>
      <c r="H22">
        <v>1635.46</v>
      </c>
      <c r="I22">
        <v>1849.18</v>
      </c>
      <c r="J22">
        <v>2336.06</v>
      </c>
      <c r="K22">
        <v>2023.71</v>
      </c>
    </row>
    <row r="23" spans="1:11" s="6" customFormat="1" x14ac:dyDescent="0.2">
      <c r="A23" s="4" t="s">
        <v>85</v>
      </c>
      <c r="B23">
        <v>1751.78</v>
      </c>
      <c r="C23">
        <v>1823.98</v>
      </c>
      <c r="D23">
        <v>2145.8200000000002</v>
      </c>
      <c r="E23">
        <v>2226.13</v>
      </c>
      <c r="F23">
        <v>2246.9</v>
      </c>
      <c r="G23">
        <v>2902.12</v>
      </c>
      <c r="H23">
        <v>3192.15</v>
      </c>
      <c r="J23">
        <v>4837.58</v>
      </c>
      <c r="K23">
        <v>4121.66</v>
      </c>
    </row>
    <row r="24" spans="1:11" s="6" customFormat="1" x14ac:dyDescent="0.2">
      <c r="A24" s="4" t="s">
        <v>86</v>
      </c>
      <c r="B24">
        <v>334.91</v>
      </c>
      <c r="C24">
        <v>267.93</v>
      </c>
      <c r="D24">
        <v>287.39999999999998</v>
      </c>
      <c r="E24">
        <v>212.92</v>
      </c>
      <c r="F24">
        <v>214.23</v>
      </c>
      <c r="G24">
        <v>-245.08</v>
      </c>
      <c r="H24">
        <v>-223.18</v>
      </c>
      <c r="I24">
        <v>4373.42</v>
      </c>
      <c r="J24">
        <v>-388.53</v>
      </c>
      <c r="K24">
        <v>-338.56</v>
      </c>
    </row>
    <row r="25" spans="1:11" s="6" customFormat="1" x14ac:dyDescent="0.2">
      <c r="A25" s="6" t="s">
        <v>9</v>
      </c>
      <c r="B25">
        <v>140.12</v>
      </c>
      <c r="C25">
        <v>176.92</v>
      </c>
      <c r="D25">
        <v>258.92</v>
      </c>
      <c r="E25">
        <v>246.88</v>
      </c>
      <c r="F25">
        <v>145.85</v>
      </c>
      <c r="G25">
        <v>-112.38</v>
      </c>
      <c r="H25">
        <v>107.26</v>
      </c>
      <c r="I25">
        <v>115.5</v>
      </c>
      <c r="J25">
        <v>158.99</v>
      </c>
      <c r="K25">
        <v>352.06</v>
      </c>
    </row>
    <row r="26" spans="1:11" s="6" customFormat="1" x14ac:dyDescent="0.2">
      <c r="A26" s="6" t="s">
        <v>10</v>
      </c>
      <c r="B26">
        <v>353.67</v>
      </c>
      <c r="C26">
        <v>342.25</v>
      </c>
      <c r="D26">
        <v>335.67</v>
      </c>
      <c r="E26">
        <v>370.15</v>
      </c>
      <c r="F26">
        <v>370.38</v>
      </c>
      <c r="G26">
        <v>391.02</v>
      </c>
      <c r="H26">
        <v>403.01</v>
      </c>
      <c r="I26">
        <v>428.91</v>
      </c>
      <c r="J26">
        <v>567.75</v>
      </c>
      <c r="K26">
        <v>539.91999999999996</v>
      </c>
    </row>
    <row r="27" spans="1:11" s="6" customFormat="1" x14ac:dyDescent="0.2">
      <c r="A27" s="6" t="s">
        <v>11</v>
      </c>
      <c r="B27">
        <v>90.91</v>
      </c>
      <c r="C27">
        <v>91.9</v>
      </c>
      <c r="D27">
        <v>111.95</v>
      </c>
      <c r="E27">
        <v>129.12</v>
      </c>
      <c r="F27">
        <v>164.18</v>
      </c>
      <c r="G27">
        <v>201.68</v>
      </c>
      <c r="H27">
        <v>154.57</v>
      </c>
      <c r="I27">
        <v>119.29</v>
      </c>
      <c r="J27">
        <v>145.49</v>
      </c>
      <c r="K27">
        <v>136</v>
      </c>
    </row>
    <row r="28" spans="1:11" s="6" customFormat="1" x14ac:dyDescent="0.2">
      <c r="A28" s="6" t="s">
        <v>12</v>
      </c>
      <c r="B28">
        <v>1545.38</v>
      </c>
      <c r="C28">
        <v>1839.3</v>
      </c>
      <c r="D28">
        <v>2428.9499999999998</v>
      </c>
      <c r="E28">
        <v>2673.49</v>
      </c>
      <c r="F28">
        <v>2812.79</v>
      </c>
      <c r="G28">
        <v>2857.32</v>
      </c>
      <c r="H28">
        <v>3255.97</v>
      </c>
      <c r="I28">
        <v>4038.29</v>
      </c>
      <c r="J28">
        <v>5288.87</v>
      </c>
      <c r="K28">
        <v>4447.47</v>
      </c>
    </row>
    <row r="29" spans="1:11" s="6" customFormat="1" x14ac:dyDescent="0.2">
      <c r="A29" s="6" t="s">
        <v>13</v>
      </c>
      <c r="B29">
        <v>544.02</v>
      </c>
      <c r="C29">
        <v>614.11</v>
      </c>
      <c r="D29">
        <v>822.02</v>
      </c>
      <c r="E29">
        <v>705.05</v>
      </c>
      <c r="F29">
        <v>730.36</v>
      </c>
      <c r="G29">
        <v>738.91</v>
      </c>
      <c r="H29">
        <v>865.45</v>
      </c>
      <c r="I29">
        <v>1039.6199999999999</v>
      </c>
      <c r="J29">
        <v>1356.03</v>
      </c>
      <c r="K29">
        <v>1132.97</v>
      </c>
    </row>
    <row r="30" spans="1:11" s="6" customFormat="1" x14ac:dyDescent="0.2">
      <c r="A30" s="6" t="s">
        <v>14</v>
      </c>
      <c r="B30">
        <v>1001.36</v>
      </c>
      <c r="C30">
        <v>1225.19</v>
      </c>
      <c r="D30">
        <v>1606.93</v>
      </c>
      <c r="E30">
        <v>1968.44</v>
      </c>
      <c r="F30">
        <v>2082.4299999999998</v>
      </c>
      <c r="G30">
        <v>2118.41</v>
      </c>
      <c r="H30">
        <v>2390.52</v>
      </c>
      <c r="I30">
        <v>2998.67</v>
      </c>
      <c r="J30">
        <v>3932.84</v>
      </c>
      <c r="K30">
        <v>3314.5</v>
      </c>
    </row>
    <row r="31" spans="1:11" s="6" customFormat="1" x14ac:dyDescent="0.2">
      <c r="A31" s="6" t="s">
        <v>70</v>
      </c>
      <c r="B31">
        <v>607.45000000000005</v>
      </c>
      <c r="C31">
        <v>829.21</v>
      </c>
      <c r="D31">
        <v>1108.83</v>
      </c>
      <c r="E31">
        <v>3297.56</v>
      </c>
      <c r="F31">
        <v>1928.4</v>
      </c>
      <c r="G31">
        <v>1928.4</v>
      </c>
      <c r="H31">
        <v>2121.2399999999998</v>
      </c>
      <c r="I31">
        <v>1677.71</v>
      </c>
      <c r="J31">
        <v>3104.72</v>
      </c>
      <c r="K31">
        <v>2603.34</v>
      </c>
    </row>
    <row r="32" spans="1:11" s="6" customFormat="1" x14ac:dyDescent="0.2"/>
    <row r="33" spans="1:11" x14ac:dyDescent="0.2">
      <c r="A33" s="6"/>
    </row>
    <row r="34" spans="1:11" x14ac:dyDescent="0.2">
      <c r="A34" s="6"/>
    </row>
    <row r="35" spans="1:11" x14ac:dyDescent="0.2">
      <c r="A35" s="6"/>
    </row>
    <row r="36" spans="1:11" x14ac:dyDescent="0.2">
      <c r="A36" s="6"/>
    </row>
    <row r="37" spans="1:11" x14ac:dyDescent="0.2">
      <c r="A37" s="6"/>
    </row>
    <row r="38" spans="1:11" x14ac:dyDescent="0.2">
      <c r="A38" s="6"/>
    </row>
    <row r="39" spans="1:11" x14ac:dyDescent="0.2">
      <c r="A39" s="6"/>
    </row>
    <row r="40" spans="1:11" x14ac:dyDescent="0.2">
      <c r="A40" s="1" t="s">
        <v>39</v>
      </c>
    </row>
    <row r="41" spans="1:11" s="18" customFormat="1" x14ac:dyDescent="0.2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2">
      <c r="A42" s="6" t="s">
        <v>6</v>
      </c>
      <c r="B42">
        <v>5036.82</v>
      </c>
      <c r="C42">
        <v>4600.42</v>
      </c>
      <c r="D42">
        <v>5267.59</v>
      </c>
      <c r="E42">
        <v>4813.95</v>
      </c>
      <c r="F42">
        <v>5104</v>
      </c>
      <c r="G42">
        <v>4779.7299999999996</v>
      </c>
      <c r="H42">
        <v>5503.88</v>
      </c>
      <c r="I42">
        <v>5096.16</v>
      </c>
      <c r="J42">
        <v>5643.61</v>
      </c>
      <c r="K42">
        <v>5667.04</v>
      </c>
    </row>
    <row r="43" spans="1:11" s="6" customFormat="1" x14ac:dyDescent="0.2">
      <c r="A43" s="6" t="s">
        <v>7</v>
      </c>
      <c r="B43">
        <v>3811.95</v>
      </c>
      <c r="C43">
        <v>3505.3</v>
      </c>
      <c r="D43">
        <v>3917.54</v>
      </c>
      <c r="E43">
        <v>3699.62</v>
      </c>
      <c r="F43">
        <v>3936.27</v>
      </c>
      <c r="G43">
        <v>3677.04</v>
      </c>
      <c r="H43">
        <v>4114.92</v>
      </c>
      <c r="I43">
        <v>3995.9</v>
      </c>
      <c r="J43">
        <v>4406.97</v>
      </c>
      <c r="K43">
        <v>4464.97</v>
      </c>
    </row>
    <row r="44" spans="1:11" s="6" customFormat="1" x14ac:dyDescent="0.2">
      <c r="A44" s="6" t="s">
        <v>9</v>
      </c>
      <c r="B44">
        <v>139.69</v>
      </c>
      <c r="C44">
        <v>-77</v>
      </c>
      <c r="D44">
        <v>36.83</v>
      </c>
      <c r="E44">
        <v>39.119999999999997</v>
      </c>
      <c r="F44">
        <v>297.68</v>
      </c>
      <c r="G44">
        <v>4.4400000000000004</v>
      </c>
      <c r="H44">
        <v>8.44</v>
      </c>
      <c r="I44">
        <v>4.04</v>
      </c>
      <c r="J44">
        <v>1.64</v>
      </c>
      <c r="K44">
        <v>168.66</v>
      </c>
    </row>
    <row r="45" spans="1:11" s="6" customFormat="1" x14ac:dyDescent="0.2">
      <c r="A45" s="6" t="s">
        <v>10</v>
      </c>
      <c r="B45">
        <v>111.16</v>
      </c>
      <c r="C45">
        <v>108.69</v>
      </c>
      <c r="D45">
        <v>110.1</v>
      </c>
      <c r="E45">
        <v>112.71</v>
      </c>
      <c r="F45">
        <v>121.6</v>
      </c>
      <c r="G45">
        <v>150.27000000000001</v>
      </c>
      <c r="H45">
        <v>155.34</v>
      </c>
      <c r="I45">
        <v>156.94</v>
      </c>
      <c r="J45">
        <v>163.35</v>
      </c>
      <c r="K45">
        <v>174.41</v>
      </c>
    </row>
    <row r="46" spans="1:11" s="6" customFormat="1" x14ac:dyDescent="0.2">
      <c r="A46" s="6" t="s">
        <v>11</v>
      </c>
      <c r="B46">
        <v>31.38</v>
      </c>
      <c r="C46">
        <v>22.95</v>
      </c>
      <c r="D46">
        <v>26.2</v>
      </c>
      <c r="E46">
        <v>31.68</v>
      </c>
      <c r="F46">
        <v>32.22</v>
      </c>
      <c r="G46">
        <v>34.6</v>
      </c>
      <c r="H46">
        <v>37.5</v>
      </c>
      <c r="I46">
        <v>46.89</v>
      </c>
      <c r="J46">
        <v>46.41</v>
      </c>
      <c r="K46">
        <v>28.25</v>
      </c>
    </row>
    <row r="47" spans="1:11" s="6" customFormat="1" x14ac:dyDescent="0.2">
      <c r="A47" s="6" t="s">
        <v>12</v>
      </c>
      <c r="B47">
        <v>1222.02</v>
      </c>
      <c r="C47">
        <v>886.48</v>
      </c>
      <c r="D47">
        <v>1250.58</v>
      </c>
      <c r="E47">
        <v>1009.06</v>
      </c>
      <c r="F47">
        <v>1311.59</v>
      </c>
      <c r="G47">
        <v>922.26</v>
      </c>
      <c r="H47">
        <v>1204.56</v>
      </c>
      <c r="I47">
        <v>900.47</v>
      </c>
      <c r="J47">
        <v>1028.52</v>
      </c>
      <c r="K47">
        <v>1168.07</v>
      </c>
    </row>
    <row r="48" spans="1:11" s="6" customFormat="1" x14ac:dyDescent="0.2">
      <c r="A48" s="6" t="s">
        <v>13</v>
      </c>
      <c r="B48">
        <v>313.94</v>
      </c>
      <c r="C48">
        <v>230.87</v>
      </c>
      <c r="D48">
        <v>316.41000000000003</v>
      </c>
      <c r="E48">
        <v>262.45999999999998</v>
      </c>
      <c r="F48">
        <v>325.23</v>
      </c>
      <c r="G48">
        <v>226.13</v>
      </c>
      <c r="H48">
        <v>319.14999999999998</v>
      </c>
      <c r="I48">
        <v>241.24</v>
      </c>
      <c r="J48">
        <v>275.32</v>
      </c>
      <c r="K48">
        <v>150.01</v>
      </c>
    </row>
    <row r="49" spans="1:11" s="6" customFormat="1" x14ac:dyDescent="0.2">
      <c r="A49" s="6" t="s">
        <v>14</v>
      </c>
      <c r="B49">
        <v>908.08</v>
      </c>
      <c r="C49">
        <v>655.61</v>
      </c>
      <c r="D49">
        <v>934.17</v>
      </c>
      <c r="E49">
        <v>746.6</v>
      </c>
      <c r="F49">
        <v>986.36</v>
      </c>
      <c r="G49">
        <v>696.13</v>
      </c>
      <c r="H49">
        <v>885.41</v>
      </c>
      <c r="I49">
        <v>659.23</v>
      </c>
      <c r="J49">
        <v>753.2</v>
      </c>
      <c r="K49">
        <v>1018.06</v>
      </c>
    </row>
    <row r="50" spans="1:11" x14ac:dyDescent="0.2">
      <c r="A50" s="6" t="s">
        <v>8</v>
      </c>
      <c r="B50">
        <v>1224.8699999999999</v>
      </c>
      <c r="C50">
        <v>1095.1199999999999</v>
      </c>
      <c r="D50">
        <v>1350.05</v>
      </c>
      <c r="E50">
        <v>1114.33</v>
      </c>
      <c r="F50">
        <v>1167.73</v>
      </c>
      <c r="G50">
        <v>1102.69</v>
      </c>
      <c r="H50">
        <v>1388.96</v>
      </c>
      <c r="I50">
        <v>1100.26</v>
      </c>
      <c r="J50">
        <v>1236.6400000000001</v>
      </c>
      <c r="K50">
        <v>1202.07</v>
      </c>
    </row>
    <row r="51" spans="1:11" x14ac:dyDescent="0.2">
      <c r="A51" s="6"/>
    </row>
    <row r="52" spans="1:11" x14ac:dyDescent="0.2">
      <c r="A52" s="6"/>
    </row>
    <row r="53" spans="1:11" x14ac:dyDescent="0.2">
      <c r="A53" s="6"/>
    </row>
    <row r="54" spans="1:11" x14ac:dyDescent="0.2">
      <c r="A54" s="6"/>
    </row>
    <row r="55" spans="1:11" x14ac:dyDescent="0.2">
      <c r="A55" s="1" t="s">
        <v>40</v>
      </c>
    </row>
    <row r="56" spans="1:11" s="18" customFormat="1" x14ac:dyDescent="0.2">
      <c r="A56" s="17" t="s">
        <v>38</v>
      </c>
      <c r="B56" s="12">
        <v>42735</v>
      </c>
      <c r="C56" s="12">
        <v>43100</v>
      </c>
      <c r="D56" s="12">
        <v>43465</v>
      </c>
      <c r="E56" s="12">
        <v>43830</v>
      </c>
      <c r="F56" s="12">
        <v>44196</v>
      </c>
      <c r="G56" s="12">
        <v>44561</v>
      </c>
      <c r="H56" s="12">
        <v>44926</v>
      </c>
      <c r="I56" s="12">
        <v>45291</v>
      </c>
      <c r="J56" s="12">
        <v>45382</v>
      </c>
      <c r="K56" s="12">
        <v>45747</v>
      </c>
    </row>
    <row r="57" spans="1:11" x14ac:dyDescent="0.2">
      <c r="A57" s="6" t="s">
        <v>24</v>
      </c>
      <c r="B57">
        <v>96.42</v>
      </c>
      <c r="C57">
        <v>96.42</v>
      </c>
      <c r="D57">
        <v>96.42</v>
      </c>
      <c r="E57">
        <v>96.42</v>
      </c>
      <c r="F57">
        <v>96.42</v>
      </c>
      <c r="G57">
        <v>96.42</v>
      </c>
      <c r="H57">
        <v>96.42</v>
      </c>
      <c r="I57">
        <v>96.42</v>
      </c>
      <c r="J57">
        <v>96.42</v>
      </c>
      <c r="K57">
        <v>96.42</v>
      </c>
    </row>
    <row r="58" spans="1:11" x14ac:dyDescent="0.2">
      <c r="A58" s="6" t="s">
        <v>25</v>
      </c>
      <c r="B58">
        <v>3185.91</v>
      </c>
      <c r="C58">
        <v>3324.17</v>
      </c>
      <c r="D58">
        <v>3577.32</v>
      </c>
      <c r="E58">
        <v>1822.45</v>
      </c>
      <c r="F58">
        <v>1922.92</v>
      </c>
      <c r="G58">
        <v>1849.96</v>
      </c>
      <c r="H58">
        <v>2362.75</v>
      </c>
      <c r="I58">
        <v>2362.75</v>
      </c>
      <c r="J58">
        <v>3244.47</v>
      </c>
      <c r="K58">
        <v>4020.73</v>
      </c>
    </row>
    <row r="59" spans="1:11" x14ac:dyDescent="0.2">
      <c r="A59" s="6" t="s">
        <v>71</v>
      </c>
      <c r="B59">
        <v>33.15</v>
      </c>
      <c r="C59">
        <v>35.14</v>
      </c>
      <c r="D59">
        <v>35.14</v>
      </c>
      <c r="E59">
        <v>188.94</v>
      </c>
      <c r="F59">
        <v>147.49</v>
      </c>
      <c r="G59">
        <v>266.45999999999998</v>
      </c>
      <c r="H59">
        <v>270.52</v>
      </c>
      <c r="I59">
        <v>270.52</v>
      </c>
      <c r="J59">
        <v>344.53</v>
      </c>
      <c r="K59">
        <v>1166.8499999999999</v>
      </c>
    </row>
    <row r="60" spans="1:11" x14ac:dyDescent="0.2">
      <c r="A60" s="6" t="s">
        <v>72</v>
      </c>
      <c r="B60">
        <v>3494.98</v>
      </c>
      <c r="C60">
        <v>3906.86</v>
      </c>
      <c r="D60">
        <v>4379.2</v>
      </c>
      <c r="E60">
        <v>5065.13</v>
      </c>
      <c r="F60">
        <v>5732.9</v>
      </c>
      <c r="G60">
        <v>6021.29</v>
      </c>
      <c r="H60">
        <v>6249.05</v>
      </c>
      <c r="I60">
        <v>6249.05</v>
      </c>
      <c r="J60">
        <v>6837.64</v>
      </c>
      <c r="K60">
        <v>7039.89</v>
      </c>
    </row>
    <row r="61" spans="1:11" s="1" customFormat="1" x14ac:dyDescent="0.2">
      <c r="A61" s="1" t="s">
        <v>26</v>
      </c>
      <c r="B61">
        <v>6810.46</v>
      </c>
      <c r="C61">
        <v>7362.59</v>
      </c>
      <c r="D61">
        <v>8088.08</v>
      </c>
      <c r="E61">
        <v>7172.94</v>
      </c>
      <c r="F61">
        <v>7899.73</v>
      </c>
      <c r="G61">
        <v>8234.1299999999992</v>
      </c>
      <c r="H61">
        <v>8978.74</v>
      </c>
      <c r="I61">
        <v>8978.74</v>
      </c>
      <c r="J61">
        <v>10523.06</v>
      </c>
      <c r="K61">
        <v>12323.89</v>
      </c>
    </row>
    <row r="62" spans="1:11" x14ac:dyDescent="0.2">
      <c r="A62" s="6" t="s">
        <v>27</v>
      </c>
      <c r="B62">
        <v>2730.14</v>
      </c>
      <c r="C62">
        <v>2616.1799999999998</v>
      </c>
      <c r="D62">
        <v>2400.62</v>
      </c>
      <c r="E62">
        <v>2341.4499999999998</v>
      </c>
      <c r="F62">
        <v>2179.41</v>
      </c>
      <c r="G62">
        <v>2994.67</v>
      </c>
      <c r="H62">
        <v>3043.7</v>
      </c>
      <c r="I62">
        <v>3043.7</v>
      </c>
      <c r="J62">
        <v>3460.25</v>
      </c>
      <c r="K62">
        <v>5473.61</v>
      </c>
    </row>
    <row r="63" spans="1:11" x14ac:dyDescent="0.2">
      <c r="A63" s="6" t="s">
        <v>28</v>
      </c>
      <c r="B63">
        <v>188.17</v>
      </c>
      <c r="C63">
        <v>94.16</v>
      </c>
      <c r="D63">
        <v>105.2</v>
      </c>
      <c r="E63">
        <v>143.30000000000001</v>
      </c>
      <c r="F63">
        <v>638.58000000000004</v>
      </c>
      <c r="G63">
        <v>246.23</v>
      </c>
      <c r="H63">
        <v>358.36</v>
      </c>
      <c r="I63">
        <v>358.36</v>
      </c>
      <c r="J63">
        <v>1741.71</v>
      </c>
      <c r="K63">
        <v>1172.56</v>
      </c>
    </row>
    <row r="64" spans="1:11" x14ac:dyDescent="0.2">
      <c r="A64" s="6" t="s">
        <v>29</v>
      </c>
      <c r="B64">
        <v>1755.66</v>
      </c>
      <c r="C64">
        <v>1978.87</v>
      </c>
      <c r="D64">
        <v>2658.49</v>
      </c>
      <c r="E64">
        <v>1751.05</v>
      </c>
      <c r="F64">
        <v>1463.77</v>
      </c>
      <c r="G64">
        <v>773.98</v>
      </c>
      <c r="H64">
        <v>777.54</v>
      </c>
      <c r="I64">
        <v>777.54</v>
      </c>
      <c r="J64">
        <v>463.87</v>
      </c>
      <c r="K64">
        <v>705.6</v>
      </c>
    </row>
    <row r="65" spans="1:11" x14ac:dyDescent="0.2">
      <c r="A65" s="6" t="s">
        <v>73</v>
      </c>
      <c r="B65">
        <v>2136.4899999999998</v>
      </c>
      <c r="C65">
        <v>2673.38</v>
      </c>
      <c r="D65">
        <v>2923.77</v>
      </c>
      <c r="E65">
        <v>2937.14</v>
      </c>
      <c r="F65">
        <v>3617.97</v>
      </c>
      <c r="G65">
        <v>4219.25</v>
      </c>
      <c r="H65">
        <v>4799.1400000000003</v>
      </c>
      <c r="I65">
        <v>4799.1400000000003</v>
      </c>
      <c r="J65">
        <v>4857.2299999999996</v>
      </c>
      <c r="K65">
        <v>4972.12</v>
      </c>
    </row>
    <row r="66" spans="1:11" s="1" customFormat="1" x14ac:dyDescent="0.2">
      <c r="A66" s="1" t="s">
        <v>26</v>
      </c>
      <c r="B66">
        <v>6810.46</v>
      </c>
      <c r="C66">
        <v>7362.59</v>
      </c>
      <c r="D66">
        <v>8088.08</v>
      </c>
      <c r="E66">
        <v>7172.94</v>
      </c>
      <c r="F66">
        <v>7899.73</v>
      </c>
      <c r="G66">
        <v>8234.1299999999992</v>
      </c>
      <c r="H66">
        <v>8978.74</v>
      </c>
      <c r="I66">
        <v>8978.74</v>
      </c>
      <c r="J66">
        <v>10523.06</v>
      </c>
      <c r="K66">
        <v>12323.89</v>
      </c>
    </row>
    <row r="67" spans="1:11" s="6" customFormat="1" x14ac:dyDescent="0.2">
      <c r="A67" s="6" t="s">
        <v>78</v>
      </c>
      <c r="B67">
        <v>97.93</v>
      </c>
      <c r="C67">
        <v>88.97</v>
      </c>
      <c r="D67">
        <v>124.59</v>
      </c>
      <c r="E67">
        <v>124.33</v>
      </c>
      <c r="F67">
        <v>164.93</v>
      </c>
      <c r="G67">
        <v>165.97</v>
      </c>
      <c r="H67">
        <v>191.89</v>
      </c>
      <c r="I67">
        <v>191.89</v>
      </c>
      <c r="J67">
        <v>300.45999999999998</v>
      </c>
      <c r="K67">
        <v>363.15</v>
      </c>
    </row>
    <row r="68" spans="1:11" x14ac:dyDescent="0.2">
      <c r="A68" s="6" t="s">
        <v>45</v>
      </c>
      <c r="B68">
        <v>940.06</v>
      </c>
      <c r="C68">
        <v>902.47</v>
      </c>
      <c r="D68">
        <v>965.55</v>
      </c>
      <c r="E68">
        <v>1283.07</v>
      </c>
      <c r="F68">
        <v>1416.48</v>
      </c>
      <c r="G68">
        <v>1592.65</v>
      </c>
      <c r="H68">
        <v>1928.77</v>
      </c>
      <c r="I68">
        <v>1928.77</v>
      </c>
      <c r="J68">
        <v>2089.36</v>
      </c>
      <c r="K68">
        <v>2850.14</v>
      </c>
    </row>
    <row r="69" spans="1:11" x14ac:dyDescent="0.2">
      <c r="A69" s="4" t="s">
        <v>87</v>
      </c>
      <c r="B69">
        <v>880</v>
      </c>
      <c r="C69">
        <v>1457.42</v>
      </c>
      <c r="D69">
        <v>1610.06</v>
      </c>
      <c r="E69">
        <v>1308.05</v>
      </c>
      <c r="F69">
        <v>1769.87</v>
      </c>
      <c r="G69">
        <v>735.41</v>
      </c>
      <c r="H69">
        <v>945.55</v>
      </c>
      <c r="I69">
        <v>945.55</v>
      </c>
      <c r="J69">
        <v>778.85</v>
      </c>
      <c r="K69">
        <v>95.65</v>
      </c>
    </row>
    <row r="70" spans="1:11" x14ac:dyDescent="0.2">
      <c r="A70" s="4" t="s">
        <v>74</v>
      </c>
      <c r="B70">
        <v>96415716</v>
      </c>
      <c r="C70">
        <v>96415716</v>
      </c>
      <c r="D70">
        <v>96415716</v>
      </c>
      <c r="E70">
        <v>96415716</v>
      </c>
      <c r="F70">
        <v>96415716</v>
      </c>
      <c r="G70">
        <v>96415716</v>
      </c>
      <c r="H70">
        <v>96415716</v>
      </c>
      <c r="J70">
        <v>964157160</v>
      </c>
      <c r="K70">
        <v>964157160</v>
      </c>
    </row>
    <row r="71" spans="1:11" x14ac:dyDescent="0.2">
      <c r="A71" s="4" t="s">
        <v>75</v>
      </c>
    </row>
    <row r="72" spans="1:11" x14ac:dyDescent="0.2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</v>
      </c>
      <c r="K72">
        <v>1</v>
      </c>
    </row>
    <row r="74" spans="1:11" x14ac:dyDescent="0.2">
      <c r="A74" s="6"/>
    </row>
    <row r="75" spans="1:11" x14ac:dyDescent="0.2">
      <c r="A75" s="6"/>
    </row>
    <row r="76" spans="1:11" x14ac:dyDescent="0.2">
      <c r="A76" s="6"/>
    </row>
    <row r="77" spans="1:11" x14ac:dyDescent="0.2">
      <c r="A77" s="6"/>
    </row>
    <row r="78" spans="1:11" x14ac:dyDescent="0.2">
      <c r="A78" s="6"/>
    </row>
    <row r="79" spans="1:11" x14ac:dyDescent="0.2">
      <c r="A79" s="6"/>
    </row>
    <row r="80" spans="1:11" x14ac:dyDescent="0.2">
      <c r="A80" s="1" t="s">
        <v>41</v>
      </c>
    </row>
    <row r="81" spans="1:11" s="18" customFormat="1" x14ac:dyDescent="0.2">
      <c r="A81" s="17" t="s">
        <v>38</v>
      </c>
      <c r="B81" s="12">
        <v>42735</v>
      </c>
      <c r="C81" s="12">
        <v>43100</v>
      </c>
      <c r="D81" s="12">
        <v>43465</v>
      </c>
      <c r="E81" s="12">
        <v>43830</v>
      </c>
      <c r="F81" s="12">
        <v>44196</v>
      </c>
      <c r="G81" s="12">
        <v>44561</v>
      </c>
      <c r="H81" s="12">
        <v>44926</v>
      </c>
      <c r="I81" s="12">
        <v>45291</v>
      </c>
      <c r="J81" s="12">
        <v>45382</v>
      </c>
      <c r="K81" s="12">
        <v>45747</v>
      </c>
    </row>
    <row r="82" spans="1:11" s="1" customFormat="1" x14ac:dyDescent="0.2">
      <c r="A82" s="6" t="s">
        <v>32</v>
      </c>
      <c r="B82">
        <v>1465.91</v>
      </c>
      <c r="C82">
        <v>1817.79</v>
      </c>
      <c r="D82">
        <v>2052.4499999999998</v>
      </c>
      <c r="E82">
        <v>2295.25</v>
      </c>
      <c r="F82">
        <v>2454.48</v>
      </c>
      <c r="G82">
        <v>2236</v>
      </c>
      <c r="H82">
        <v>2737.43</v>
      </c>
      <c r="I82">
        <v>3392.19</v>
      </c>
      <c r="J82">
        <v>4174.79</v>
      </c>
      <c r="K82">
        <v>2936.35</v>
      </c>
    </row>
    <row r="83" spans="1:11" s="6" customFormat="1" x14ac:dyDescent="0.2">
      <c r="A83" s="6" t="s">
        <v>33</v>
      </c>
      <c r="B83">
        <v>-125.9</v>
      </c>
      <c r="C83">
        <v>-130.56</v>
      </c>
      <c r="D83">
        <v>-52.41</v>
      </c>
      <c r="E83">
        <v>82.99</v>
      </c>
      <c r="F83">
        <v>-321.45999999999998</v>
      </c>
      <c r="G83">
        <v>-1920.33</v>
      </c>
      <c r="H83">
        <v>-391.73</v>
      </c>
      <c r="I83">
        <v>-926.99</v>
      </c>
      <c r="J83">
        <v>-1237.42</v>
      </c>
      <c r="K83">
        <v>-1810.9</v>
      </c>
    </row>
    <row r="84" spans="1:11" s="6" customFormat="1" x14ac:dyDescent="0.2">
      <c r="A84" s="6" t="s">
        <v>34</v>
      </c>
      <c r="B84">
        <v>-665.61</v>
      </c>
      <c r="C84">
        <v>-996.62</v>
      </c>
      <c r="D84">
        <v>-1317.42</v>
      </c>
      <c r="E84">
        <v>-3601.53</v>
      </c>
      <c r="F84">
        <v>-1955.89</v>
      </c>
      <c r="G84">
        <v>-2019.97</v>
      </c>
      <c r="H84">
        <v>-2122.7399999999998</v>
      </c>
      <c r="I84">
        <v>-2436.4699999999998</v>
      </c>
      <c r="J84">
        <v>-3134.92</v>
      </c>
      <c r="K84">
        <v>-1848.12</v>
      </c>
    </row>
    <row r="85" spans="1:11" s="1" customFormat="1" x14ac:dyDescent="0.2">
      <c r="A85" s="6" t="s">
        <v>35</v>
      </c>
      <c r="B85">
        <v>674.4</v>
      </c>
      <c r="C85">
        <v>690.61</v>
      </c>
      <c r="D85">
        <v>682.62</v>
      </c>
      <c r="E85">
        <v>-1223.29</v>
      </c>
      <c r="F85">
        <v>177.13</v>
      </c>
      <c r="G85">
        <v>-1704.3</v>
      </c>
      <c r="H85">
        <v>222.96</v>
      </c>
      <c r="I85">
        <v>28.73</v>
      </c>
      <c r="J85">
        <v>-197.55</v>
      </c>
      <c r="K85">
        <v>-722.67</v>
      </c>
    </row>
    <row r="86" spans="1:11" x14ac:dyDescent="0.2">
      <c r="A86" s="6"/>
    </row>
    <row r="87" spans="1:11" x14ac:dyDescent="0.2">
      <c r="A87" s="6"/>
    </row>
    <row r="88" spans="1:11" x14ac:dyDescent="0.2">
      <c r="A88" s="6"/>
    </row>
    <row r="89" spans="1:11" x14ac:dyDescent="0.2">
      <c r="A89" s="6"/>
    </row>
    <row r="90" spans="1:11" s="1" customFormat="1" x14ac:dyDescent="0.2">
      <c r="A90" s="1" t="s">
        <v>77</v>
      </c>
      <c r="B90">
        <v>301.42</v>
      </c>
      <c r="C90">
        <v>393.55</v>
      </c>
      <c r="D90">
        <v>554.24</v>
      </c>
      <c r="E90">
        <v>739.27</v>
      </c>
      <c r="F90">
        <v>919.51</v>
      </c>
      <c r="G90">
        <v>985.29</v>
      </c>
      <c r="H90">
        <v>980.3</v>
      </c>
      <c r="I90">
        <v>1329.02</v>
      </c>
      <c r="J90">
        <v>1311.18</v>
      </c>
      <c r="K90">
        <v>1125.3800000000001</v>
      </c>
    </row>
    <row r="92" spans="1:11" s="1" customFormat="1" x14ac:dyDescent="0.2">
      <c r="A92" s="1" t="s">
        <v>76</v>
      </c>
    </row>
    <row r="93" spans="1:11" x14ac:dyDescent="0.2">
      <c r="A93" s="4" t="s">
        <v>89</v>
      </c>
      <c r="B93" s="24">
        <v>192.8</v>
      </c>
      <c r="C93" s="24">
        <v>192.8</v>
      </c>
      <c r="D93" s="24">
        <v>192.8</v>
      </c>
      <c r="E93" s="24">
        <v>192.8</v>
      </c>
      <c r="F93" s="24">
        <v>192.8</v>
      </c>
      <c r="G93" s="24">
        <v>192.8</v>
      </c>
      <c r="H93" s="24">
        <v>192.8</v>
      </c>
      <c r="I93" s="24">
        <v>192.8</v>
      </c>
      <c r="J93" s="24">
        <v>192.83</v>
      </c>
      <c r="K93" s="24">
        <v>192.83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E072-228B-3C4C-B2E8-44D0B7ABD4AB}">
  <dimension ref="A1:K101"/>
  <sheetViews>
    <sheetView showGridLines="0" zoomScale="69" workbookViewId="0">
      <selection activeCell="B37" sqref="B37"/>
    </sheetView>
  </sheetViews>
  <sheetFormatPr baseColWidth="10" defaultColWidth="10.83203125" defaultRowHeight="15" x14ac:dyDescent="0.2"/>
  <cols>
    <col min="1" max="1" width="53.5" customWidth="1"/>
  </cols>
  <sheetData>
    <row r="1" spans="1:11" x14ac:dyDescent="0.2">
      <c r="A1" s="29" t="s">
        <v>148</v>
      </c>
    </row>
    <row r="2" spans="1:11" x14ac:dyDescent="0.2">
      <c r="A2" s="30" t="s">
        <v>93</v>
      </c>
      <c r="B2" s="12">
        <v>42705</v>
      </c>
      <c r="C2" s="12">
        <f>B2+365</f>
        <v>43070</v>
      </c>
      <c r="D2" s="12">
        <f t="shared" ref="D2:E2" si="0">C2+365</f>
        <v>43435</v>
      </c>
      <c r="E2" s="12">
        <f t="shared" si="0"/>
        <v>43800</v>
      </c>
      <c r="F2" s="12">
        <f>E2+366</f>
        <v>44166</v>
      </c>
      <c r="G2" s="12">
        <f t="shared" ref="G2:K2" si="1">F2+366</f>
        <v>44532</v>
      </c>
      <c r="H2" s="12">
        <f t="shared" si="1"/>
        <v>44898</v>
      </c>
      <c r="I2" s="12">
        <f t="shared" si="1"/>
        <v>45264</v>
      </c>
      <c r="J2" s="12">
        <v>45352</v>
      </c>
      <c r="K2" s="12">
        <f t="shared" si="1"/>
        <v>45718</v>
      </c>
    </row>
    <row r="3" spans="1:11" x14ac:dyDescent="0.2">
      <c r="A3" s="31" t="s">
        <v>94</v>
      </c>
    </row>
    <row r="4" spans="1:11" x14ac:dyDescent="0.2">
      <c r="A4" s="26" t="s">
        <v>149</v>
      </c>
      <c r="B4" s="39">
        <f>IFERROR('Data Sheet'!B17,0)</f>
        <v>9141.34</v>
      </c>
      <c r="C4" s="39">
        <f>IFERROR('Data Sheet'!C17,0)</f>
        <v>10009.6</v>
      </c>
      <c r="D4" s="39">
        <f>IFERROR('Data Sheet'!D17,0)</f>
        <v>11292.27</v>
      </c>
      <c r="E4" s="39">
        <f>IFERROR('Data Sheet'!E17,0)</f>
        <v>12368.9</v>
      </c>
      <c r="F4" s="39">
        <f>IFERROR('Data Sheet'!F17,0)</f>
        <v>13350.03</v>
      </c>
      <c r="G4" s="39">
        <f>IFERROR('Data Sheet'!G17,0)</f>
        <v>14740.59</v>
      </c>
      <c r="H4" s="39">
        <f>IFERROR('Data Sheet'!H17,0)</f>
        <v>16896.96</v>
      </c>
      <c r="I4" s="39">
        <f>IFERROR('Data Sheet'!I17,0)</f>
        <v>19126.3</v>
      </c>
      <c r="J4" s="39">
        <f>IFERROR('Data Sheet'!J17,0)</f>
        <v>24393.89</v>
      </c>
      <c r="K4" s="39">
        <f>IFERROR('Data Sheet'!K17,0)</f>
        <v>20201.560000000001</v>
      </c>
    </row>
    <row r="5" spans="1:11" x14ac:dyDescent="0.2">
      <c r="A5" s="32" t="s">
        <v>95</v>
      </c>
      <c r="C5" s="5">
        <f t="shared" ref="C5:K5" si="2">C4/B4</f>
        <v>1.0949816985255991</v>
      </c>
      <c r="D5" s="5">
        <f t="shared" si="2"/>
        <v>1.1281439817774936</v>
      </c>
      <c r="E5" s="5">
        <f t="shared" si="2"/>
        <v>1.0953422119733234</v>
      </c>
      <c r="F5" s="5">
        <f t="shared" si="2"/>
        <v>1.0793223326245664</v>
      </c>
      <c r="G5" s="5">
        <f t="shared" si="2"/>
        <v>1.1041615636818793</v>
      </c>
      <c r="H5" s="5">
        <f t="shared" si="2"/>
        <v>1.1462879029943849</v>
      </c>
      <c r="I5" s="5">
        <f t="shared" si="2"/>
        <v>1.1319373425752324</v>
      </c>
      <c r="J5" s="5">
        <f t="shared" si="2"/>
        <v>1.2754108217480642</v>
      </c>
      <c r="K5" s="5">
        <f t="shared" si="2"/>
        <v>0.8281401613272833</v>
      </c>
    </row>
    <row r="6" spans="1:11" x14ac:dyDescent="0.2">
      <c r="A6" s="26"/>
    </row>
    <row r="7" spans="1:11" x14ac:dyDescent="0.2">
      <c r="A7" s="26" t="s">
        <v>96</v>
      </c>
      <c r="B7" s="40">
        <f>IFERROR(SUM('Data Sheet'!B18,'Data Sheet'!B20,'Data Sheet'!B21,'Data Sheet'!B22)-1*'Data Sheet'!B19,0)</f>
        <v>5204.8100000000004</v>
      </c>
      <c r="C7" s="40">
        <f>IFERROR(SUM('Data Sheet'!C18,'Data Sheet'!C20,'Data Sheet'!C21,'Data Sheet'!C22)-1*'Data Sheet'!C19,0)</f>
        <v>5821.1599999999989</v>
      </c>
      <c r="D7" s="40">
        <f>IFERROR(SUM('Data Sheet'!D18,'Data Sheet'!D20,'Data Sheet'!D21,'Data Sheet'!D22)-1*'Data Sheet'!D19,0)</f>
        <v>6241.4</v>
      </c>
      <c r="E7" s="40">
        <f>IFERROR(SUM('Data Sheet'!E18,'Data Sheet'!E20,'Data Sheet'!E21,'Data Sheet'!E22)-1*'Data Sheet'!E19,0)</f>
        <v>7003.97</v>
      </c>
      <c r="F7" s="40">
        <f>IFERROR(SUM('Data Sheet'!F18,'Data Sheet'!F20,'Data Sheet'!F21,'Data Sheet'!F22)-1*'Data Sheet'!F19,0)</f>
        <v>7687.4</v>
      </c>
      <c r="G7" s="40">
        <f>IFERROR(SUM('Data Sheet'!G18,'Data Sheet'!G20,'Data Sheet'!G21,'Data Sheet'!G22)-1*'Data Sheet'!G19,0)</f>
        <v>8521.1500000000015</v>
      </c>
      <c r="H7" s="40">
        <f>IFERROR(SUM('Data Sheet'!H18,'Data Sheet'!H20,'Data Sheet'!H21,'Data Sheet'!H22)-1*'Data Sheet'!H19,0)</f>
        <v>10221.700000000001</v>
      </c>
      <c r="I7" s="40">
        <f>IFERROR(SUM('Data Sheet'!I18,'Data Sheet'!I20,'Data Sheet'!I21,'Data Sheet'!I22)-1*'Data Sheet'!I19,0)</f>
        <v>10281.89</v>
      </c>
      <c r="J7" s="40">
        <f>IFERROR(SUM('Data Sheet'!J18,'Data Sheet'!J20,'Data Sheet'!J21,'Data Sheet'!J22)-1*'Data Sheet'!J19,0)</f>
        <v>14101.72</v>
      </c>
      <c r="K7" s="40">
        <f>IFERROR(SUM('Data Sheet'!K18,'Data Sheet'!K20,'Data Sheet'!K21,'Data Sheet'!K22)-1*'Data Sheet'!K19,0)</f>
        <v>11647.130000000001</v>
      </c>
    </row>
    <row r="8" spans="1:11" x14ac:dyDescent="0.2">
      <c r="A8" s="32" t="s">
        <v>97</v>
      </c>
      <c r="B8" s="5">
        <f>B7/B4</f>
        <v>0.56937057367957</v>
      </c>
      <c r="C8" s="5">
        <f t="shared" ref="C8:K8" si="3">C7/C4</f>
        <v>0.58155770460358047</v>
      </c>
      <c r="D8" s="5">
        <f t="shared" si="3"/>
        <v>0.55271437895126485</v>
      </c>
      <c r="E8" s="5">
        <f t="shared" si="3"/>
        <v>0.5662564981526248</v>
      </c>
      <c r="F8" s="5">
        <f t="shared" si="3"/>
        <v>0.57583391198371836</v>
      </c>
      <c r="G8" s="5">
        <f t="shared" si="3"/>
        <v>0.5780738762831068</v>
      </c>
      <c r="H8" s="5">
        <f t="shared" si="3"/>
        <v>0.60494313770050956</v>
      </c>
      <c r="I8" s="5">
        <f t="shared" si="3"/>
        <v>0.53757862210673257</v>
      </c>
      <c r="J8" s="5">
        <f t="shared" si="3"/>
        <v>0.57808410220756101</v>
      </c>
      <c r="K8" s="5">
        <f t="shared" si="3"/>
        <v>0.57654606871944547</v>
      </c>
    </row>
    <row r="9" spans="1:11" x14ac:dyDescent="0.2">
      <c r="A9" s="26"/>
    </row>
    <row r="10" spans="1:11" ht="16" thickBot="1" x14ac:dyDescent="0.25">
      <c r="A10" s="26" t="s">
        <v>98</v>
      </c>
      <c r="B10" s="41">
        <f t="shared" ref="B10:K10" si="4">B4-B7</f>
        <v>3936.5299999999997</v>
      </c>
      <c r="C10" s="41">
        <f t="shared" si="4"/>
        <v>4188.4400000000014</v>
      </c>
      <c r="D10" s="41">
        <f t="shared" si="4"/>
        <v>5050.8700000000008</v>
      </c>
      <c r="E10" s="41">
        <f t="shared" si="4"/>
        <v>5364.9299999999994</v>
      </c>
      <c r="F10" s="41">
        <f t="shared" si="4"/>
        <v>5662.630000000001</v>
      </c>
      <c r="G10" s="41">
        <f t="shared" si="4"/>
        <v>6219.4399999999987</v>
      </c>
      <c r="H10" s="41">
        <f t="shared" si="4"/>
        <v>6675.2599999999984</v>
      </c>
      <c r="I10" s="41">
        <f t="shared" si="4"/>
        <v>8844.41</v>
      </c>
      <c r="J10" s="41">
        <f t="shared" si="4"/>
        <v>10292.17</v>
      </c>
      <c r="K10" s="41">
        <f t="shared" si="4"/>
        <v>8554.43</v>
      </c>
    </row>
    <row r="11" spans="1:11" ht="16" thickTop="1" x14ac:dyDescent="0.2">
      <c r="A11" s="33" t="s">
        <v>150</v>
      </c>
    </row>
    <row r="12" spans="1:11" x14ac:dyDescent="0.2">
      <c r="A12" s="26"/>
    </row>
    <row r="13" spans="1:11" x14ac:dyDescent="0.2">
      <c r="A13" s="26" t="s">
        <v>99</v>
      </c>
      <c r="B13" s="40">
        <f>IFERROR(SUM('Data Sheet'!B23,'Data Sheet'!B24),0)</f>
        <v>2086.69</v>
      </c>
      <c r="C13" s="40">
        <f>IFERROR(SUM('Data Sheet'!C23,'Data Sheet'!C24),0)</f>
        <v>2091.91</v>
      </c>
      <c r="D13" s="40">
        <f>IFERROR(SUM('Data Sheet'!D23,'Data Sheet'!D24),0)</f>
        <v>2433.2200000000003</v>
      </c>
      <c r="E13" s="40">
        <f>IFERROR(SUM('Data Sheet'!E23,'Data Sheet'!E24),0)</f>
        <v>2439.0500000000002</v>
      </c>
      <c r="F13" s="40">
        <f>IFERROR(SUM('Data Sheet'!F23,'Data Sheet'!F24),0)</f>
        <v>2461.13</v>
      </c>
      <c r="G13" s="40">
        <f>IFERROR(SUM('Data Sheet'!G23,'Data Sheet'!G24),0)</f>
        <v>2657.04</v>
      </c>
      <c r="H13" s="40">
        <f>IFERROR(SUM('Data Sheet'!H23,'Data Sheet'!H24),0)</f>
        <v>2968.9700000000003</v>
      </c>
      <c r="I13" s="40">
        <f>IFERROR(SUM('Data Sheet'!I23,'Data Sheet'!I24),0)</f>
        <v>4373.42</v>
      </c>
      <c r="J13" s="40">
        <f>IFERROR(SUM('Data Sheet'!J23,'Data Sheet'!J24),0)</f>
        <v>4449.05</v>
      </c>
      <c r="K13" s="40">
        <f>IFERROR(SUM('Data Sheet'!K23,'Data Sheet'!K24),0)</f>
        <v>3783.1</v>
      </c>
    </row>
    <row r="14" spans="1:11" x14ac:dyDescent="0.2">
      <c r="A14" s="32" t="s">
        <v>100</v>
      </c>
      <c r="B14" s="5">
        <f t="shared" ref="B14:K14" si="5">B13/B4</f>
        <v>0.22826959723629139</v>
      </c>
      <c r="C14" s="5">
        <f t="shared" si="5"/>
        <v>0.20899036924552428</v>
      </c>
      <c r="D14" s="5">
        <f t="shared" si="5"/>
        <v>0.21547660479248196</v>
      </c>
      <c r="E14" s="5">
        <f t="shared" si="5"/>
        <v>0.19719215128265247</v>
      </c>
      <c r="F14" s="5">
        <f t="shared" si="5"/>
        <v>0.18435389283769399</v>
      </c>
      <c r="G14" s="5">
        <f t="shared" si="5"/>
        <v>0.18025330058023456</v>
      </c>
      <c r="H14" s="5">
        <f t="shared" si="5"/>
        <v>0.17571030528568454</v>
      </c>
      <c r="I14" s="5">
        <f t="shared" si="5"/>
        <v>0.22866001265273472</v>
      </c>
      <c r="J14" s="5">
        <f t="shared" si="5"/>
        <v>0.18238378544791339</v>
      </c>
      <c r="K14" s="5">
        <f t="shared" si="5"/>
        <v>0.18726771595856953</v>
      </c>
    </row>
    <row r="15" spans="1:11" x14ac:dyDescent="0.2">
      <c r="A15" s="26"/>
    </row>
    <row r="16" spans="1:11" x14ac:dyDescent="0.2">
      <c r="A16" s="26" t="s">
        <v>101</v>
      </c>
      <c r="B16" s="40">
        <f t="shared" ref="B16:K16" si="6">B10-B13</f>
        <v>1849.8399999999997</v>
      </c>
      <c r="C16" s="40">
        <f t="shared" si="6"/>
        <v>2096.5300000000016</v>
      </c>
      <c r="D16" s="40">
        <f t="shared" si="6"/>
        <v>2617.6500000000005</v>
      </c>
      <c r="E16" s="40">
        <f t="shared" si="6"/>
        <v>2925.8799999999992</v>
      </c>
      <c r="F16" s="40">
        <f t="shared" si="6"/>
        <v>3201.5000000000009</v>
      </c>
      <c r="G16" s="40">
        <f t="shared" si="6"/>
        <v>3562.3999999999987</v>
      </c>
      <c r="H16" s="40">
        <f t="shared" si="6"/>
        <v>3706.2899999999981</v>
      </c>
      <c r="I16" s="40">
        <f t="shared" si="6"/>
        <v>4470.99</v>
      </c>
      <c r="J16" s="40">
        <f t="shared" si="6"/>
        <v>5843.12</v>
      </c>
      <c r="K16" s="40">
        <f t="shared" si="6"/>
        <v>4771.33</v>
      </c>
    </row>
    <row r="17" spans="1:11" x14ac:dyDescent="0.2">
      <c r="A17" s="32" t="s">
        <v>102</v>
      </c>
      <c r="B17" s="5">
        <f t="shared" ref="B17:K17" si="7">B16/B4</f>
        <v>0.2023598290841386</v>
      </c>
      <c r="C17" s="5">
        <f t="shared" si="7"/>
        <v>0.20945192615089528</v>
      </c>
      <c r="D17" s="5">
        <f t="shared" si="7"/>
        <v>0.23180901625625322</v>
      </c>
      <c r="E17" s="5">
        <f t="shared" si="7"/>
        <v>0.23655135056472276</v>
      </c>
      <c r="F17" s="5">
        <f t="shared" si="7"/>
        <v>0.23981219517858768</v>
      </c>
      <c r="G17" s="5">
        <f t="shared" si="7"/>
        <v>0.24167282313665861</v>
      </c>
      <c r="H17" s="5">
        <f t="shared" si="7"/>
        <v>0.21934655701380593</v>
      </c>
      <c r="I17" s="5">
        <f t="shared" si="7"/>
        <v>0.23376136524053268</v>
      </c>
      <c r="J17" s="5">
        <f t="shared" si="7"/>
        <v>0.23953211234452562</v>
      </c>
      <c r="K17" s="5">
        <f t="shared" si="7"/>
        <v>0.23618621532198503</v>
      </c>
    </row>
    <row r="18" spans="1:11" x14ac:dyDescent="0.2">
      <c r="A18" s="26"/>
    </row>
    <row r="19" spans="1:11" x14ac:dyDescent="0.2">
      <c r="A19" s="26" t="s">
        <v>103</v>
      </c>
      <c r="B19" s="40">
        <f>IFERROR('Data Sheet'!B27,0)</f>
        <v>90.91</v>
      </c>
      <c r="C19" s="40">
        <f>IFERROR('Data Sheet'!C27,0)</f>
        <v>91.9</v>
      </c>
      <c r="D19" s="40">
        <f>IFERROR('Data Sheet'!D27,0)</f>
        <v>111.95</v>
      </c>
      <c r="E19" s="40">
        <f>IFERROR('Data Sheet'!E27,0)</f>
        <v>129.12</v>
      </c>
      <c r="F19" s="40">
        <f>IFERROR('Data Sheet'!F27,0)</f>
        <v>164.18</v>
      </c>
      <c r="G19" s="40">
        <f>IFERROR('Data Sheet'!G27,0)</f>
        <v>201.68</v>
      </c>
      <c r="H19" s="40">
        <f>IFERROR('Data Sheet'!H27,0)</f>
        <v>154.57</v>
      </c>
      <c r="I19" s="40">
        <f>IFERROR('Data Sheet'!I27,0)</f>
        <v>119.29</v>
      </c>
      <c r="J19" s="40">
        <f>IFERROR('Data Sheet'!J27,0)</f>
        <v>145.49</v>
      </c>
      <c r="K19" s="40">
        <f>IFERROR('Data Sheet'!K27,0)</f>
        <v>136</v>
      </c>
    </row>
    <row r="20" spans="1:11" x14ac:dyDescent="0.2">
      <c r="A20" s="32" t="s">
        <v>104</v>
      </c>
      <c r="B20" s="5">
        <f t="shared" ref="B20:K20" si="8">B19/B4</f>
        <v>9.9449314870686343E-3</v>
      </c>
      <c r="C20" s="5">
        <f t="shared" si="8"/>
        <v>9.1811860613810747E-3</v>
      </c>
      <c r="D20" s="5">
        <f t="shared" si="8"/>
        <v>9.9138614291015004E-3</v>
      </c>
      <c r="E20" s="5">
        <f t="shared" si="8"/>
        <v>1.0439085124788786E-2</v>
      </c>
      <c r="F20" s="5">
        <f t="shared" si="8"/>
        <v>1.2298099704644858E-2</v>
      </c>
      <c r="G20" s="5">
        <f t="shared" si="8"/>
        <v>1.3681948958623773E-2</v>
      </c>
      <c r="H20" s="5">
        <f t="shared" si="8"/>
        <v>9.1477993674601819E-3</v>
      </c>
      <c r="I20" s="5">
        <f t="shared" si="8"/>
        <v>6.2369616705792554E-3</v>
      </c>
      <c r="J20" s="5">
        <f t="shared" si="8"/>
        <v>5.9641984119793937E-3</v>
      </c>
      <c r="K20" s="5">
        <f t="shared" si="8"/>
        <v>6.732153358453505E-3</v>
      </c>
    </row>
    <row r="21" spans="1:11" x14ac:dyDescent="0.2">
      <c r="A21" s="26"/>
    </row>
    <row r="22" spans="1:11" x14ac:dyDescent="0.2">
      <c r="A22" s="26" t="s">
        <v>105</v>
      </c>
      <c r="B22" s="40">
        <f>IFERROR('Data Sheet'!B26,0)</f>
        <v>353.67</v>
      </c>
      <c r="C22" s="40">
        <f>IFERROR('Data Sheet'!C26,0)</f>
        <v>342.25</v>
      </c>
      <c r="D22" s="40">
        <f>IFERROR('Data Sheet'!D26,0)</f>
        <v>335.67</v>
      </c>
      <c r="E22" s="40">
        <f>IFERROR('Data Sheet'!E26,0)</f>
        <v>370.15</v>
      </c>
      <c r="F22" s="40">
        <f>IFERROR('Data Sheet'!F26,0)</f>
        <v>370.38</v>
      </c>
      <c r="G22" s="40">
        <f>IFERROR('Data Sheet'!G26,0)</f>
        <v>391.02</v>
      </c>
      <c r="H22" s="40">
        <f>IFERROR('Data Sheet'!H26,0)</f>
        <v>403.01</v>
      </c>
      <c r="I22" s="40">
        <f>IFERROR('Data Sheet'!I26,0)</f>
        <v>428.91</v>
      </c>
      <c r="J22" s="40">
        <f>IFERROR('Data Sheet'!J26,0)</f>
        <v>567.75</v>
      </c>
      <c r="K22" s="40">
        <f>IFERROR('Data Sheet'!K26,0)</f>
        <v>539.91999999999996</v>
      </c>
    </row>
    <row r="23" spans="1:11" x14ac:dyDescent="0.2">
      <c r="A23" s="32" t="s">
        <v>106</v>
      </c>
      <c r="B23" s="5">
        <f t="shared" ref="B23:K23" si="9">B22/B4</f>
        <v>3.8689076218585021E-2</v>
      </c>
      <c r="C23" s="5">
        <f t="shared" si="9"/>
        <v>3.4192175511508952E-2</v>
      </c>
      <c r="D23" s="5">
        <f t="shared" si="9"/>
        <v>2.9725644179602505E-2</v>
      </c>
      <c r="E23" s="5">
        <f t="shared" si="9"/>
        <v>2.9925862445326586E-2</v>
      </c>
      <c r="F23" s="5">
        <f t="shared" si="9"/>
        <v>2.7743757879195776E-2</v>
      </c>
      <c r="G23" s="5">
        <f t="shared" si="9"/>
        <v>2.6526753678109218E-2</v>
      </c>
      <c r="H23" s="5">
        <f t="shared" si="9"/>
        <v>2.3851035925989056E-2</v>
      </c>
      <c r="I23" s="5">
        <f t="shared" si="9"/>
        <v>2.2425142343265557E-2</v>
      </c>
      <c r="J23" s="5">
        <f t="shared" si="9"/>
        <v>2.3274270729268683E-2</v>
      </c>
      <c r="K23" s="5">
        <f t="shared" si="9"/>
        <v>2.6726648833060414E-2</v>
      </c>
    </row>
    <row r="24" spans="1:11" x14ac:dyDescent="0.2">
      <c r="A24" s="26"/>
    </row>
    <row r="25" spans="1:11" x14ac:dyDescent="0.2">
      <c r="A25" s="26" t="s">
        <v>107</v>
      </c>
      <c r="B25" s="40">
        <f>IFERROR('Data Sheet'!B28,0)</f>
        <v>1545.38</v>
      </c>
      <c r="C25" s="40">
        <f>IFERROR('Data Sheet'!C28,0)</f>
        <v>1839.3</v>
      </c>
      <c r="D25" s="40">
        <f>IFERROR('Data Sheet'!D28,0)</f>
        <v>2428.9499999999998</v>
      </c>
      <c r="E25" s="40">
        <f>IFERROR('Data Sheet'!E28,0)</f>
        <v>2673.49</v>
      </c>
      <c r="F25" s="40">
        <f>IFERROR('Data Sheet'!F28,0)</f>
        <v>2812.79</v>
      </c>
      <c r="G25" s="40">
        <f>IFERROR('Data Sheet'!G28,0)</f>
        <v>2857.32</v>
      </c>
      <c r="H25" s="40">
        <f>IFERROR('Data Sheet'!H28,0)</f>
        <v>3255.97</v>
      </c>
      <c r="I25" s="40">
        <f>IFERROR('Data Sheet'!I28,0)</f>
        <v>4038.29</v>
      </c>
      <c r="J25" s="40">
        <f>IFERROR('Data Sheet'!J28,0)</f>
        <v>5288.87</v>
      </c>
      <c r="K25" s="40">
        <f>IFERROR('Data Sheet'!K28,0)</f>
        <v>4447.47</v>
      </c>
    </row>
    <row r="26" spans="1:11" x14ac:dyDescent="0.2">
      <c r="A26" s="32" t="s">
        <v>108</v>
      </c>
      <c r="B26" s="5">
        <f t="shared" ref="B26:K26" si="10">B25/B4</f>
        <v>0.16905398989644846</v>
      </c>
      <c r="C26" s="5">
        <f t="shared" si="10"/>
        <v>0.18375359654731457</v>
      </c>
      <c r="D26" s="5">
        <f t="shared" si="10"/>
        <v>0.21509847001532906</v>
      </c>
      <c r="E26" s="5">
        <f t="shared" si="10"/>
        <v>0.21614614072391239</v>
      </c>
      <c r="F26" s="5">
        <f t="shared" si="10"/>
        <v>0.21069540667698872</v>
      </c>
      <c r="G26" s="5">
        <f t="shared" si="10"/>
        <v>0.1938402736932511</v>
      </c>
      <c r="H26" s="5">
        <f t="shared" si="10"/>
        <v>0.19269560915099521</v>
      </c>
      <c r="I26" s="5">
        <f t="shared" si="10"/>
        <v>0.21113806643208566</v>
      </c>
      <c r="J26" s="5">
        <f t="shared" si="10"/>
        <v>0.21681125888490929</v>
      </c>
      <c r="K26" s="5">
        <f t="shared" si="10"/>
        <v>0.22015478012589126</v>
      </c>
    </row>
    <row r="27" spans="1:11" x14ac:dyDescent="0.2">
      <c r="A27" s="26"/>
    </row>
    <row r="28" spans="1:11" x14ac:dyDescent="0.2">
      <c r="A28" s="26" t="s">
        <v>109</v>
      </c>
      <c r="B28" s="40">
        <f>IFERROR('Data Sheet'!B29,0)</f>
        <v>544.02</v>
      </c>
      <c r="C28" s="40">
        <f>IFERROR('Data Sheet'!C29,0)</f>
        <v>614.11</v>
      </c>
      <c r="D28" s="40">
        <f>IFERROR('Data Sheet'!D29,0)</f>
        <v>822.02</v>
      </c>
      <c r="E28" s="40">
        <f>IFERROR('Data Sheet'!E29,0)</f>
        <v>705.05</v>
      </c>
      <c r="F28" s="40">
        <f>IFERROR('Data Sheet'!F29,0)</f>
        <v>730.36</v>
      </c>
      <c r="G28" s="40">
        <f>IFERROR('Data Sheet'!G29,0)</f>
        <v>738.91</v>
      </c>
      <c r="H28" s="40">
        <f>IFERROR('Data Sheet'!H29,0)</f>
        <v>865.45</v>
      </c>
      <c r="I28" s="40">
        <f>IFERROR('Data Sheet'!I29,0)</f>
        <v>1039.6199999999999</v>
      </c>
      <c r="J28" s="40">
        <f>IFERROR('Data Sheet'!J29,0)</f>
        <v>1356.03</v>
      </c>
      <c r="K28" s="40">
        <f>IFERROR('Data Sheet'!K29,0)</f>
        <v>1132.97</v>
      </c>
    </row>
    <row r="29" spans="1:11" x14ac:dyDescent="0.2">
      <c r="A29" s="32" t="s">
        <v>110</v>
      </c>
      <c r="B29" s="5">
        <f t="shared" ref="B29:K29" si="11">B28/B4</f>
        <v>5.951206278291804E-2</v>
      </c>
      <c r="C29" s="5">
        <f t="shared" si="11"/>
        <v>6.1352101982097187E-2</v>
      </c>
      <c r="D29" s="5">
        <f t="shared" si="11"/>
        <v>7.2794929628852298E-2</v>
      </c>
      <c r="E29" s="5">
        <f t="shared" si="11"/>
        <v>5.7001835248081882E-2</v>
      </c>
      <c r="F29" s="5">
        <f t="shared" si="11"/>
        <v>5.4708491291779869E-2</v>
      </c>
      <c r="G29" s="5">
        <f t="shared" si="11"/>
        <v>5.012757291261747E-2</v>
      </c>
      <c r="H29" s="5">
        <f t="shared" si="11"/>
        <v>5.1219272579209517E-2</v>
      </c>
      <c r="I29" s="5">
        <f t="shared" si="11"/>
        <v>5.4355520931910505E-2</v>
      </c>
      <c r="J29" s="5">
        <f t="shared" si="11"/>
        <v>5.5588920012347352E-2</v>
      </c>
      <c r="K29" s="5">
        <f t="shared" si="11"/>
        <v>5.6083292577404908E-2</v>
      </c>
    </row>
    <row r="30" spans="1:11" x14ac:dyDescent="0.2">
      <c r="A30" s="26"/>
    </row>
    <row r="31" spans="1:11" x14ac:dyDescent="0.2">
      <c r="A31" s="26" t="s">
        <v>111</v>
      </c>
      <c r="B31" s="40">
        <f>B25-B28</f>
        <v>1001.3600000000001</v>
      </c>
      <c r="C31" s="40">
        <f t="shared" ref="C31:K31" si="12">C25-C28</f>
        <v>1225.19</v>
      </c>
      <c r="D31" s="40">
        <f t="shared" si="12"/>
        <v>1606.9299999999998</v>
      </c>
      <c r="E31" s="40">
        <f t="shared" si="12"/>
        <v>1968.4399999999998</v>
      </c>
      <c r="F31" s="40">
        <f t="shared" si="12"/>
        <v>2082.4299999999998</v>
      </c>
      <c r="G31" s="40">
        <f t="shared" si="12"/>
        <v>2118.4100000000003</v>
      </c>
      <c r="H31" s="40">
        <f t="shared" si="12"/>
        <v>2390.5199999999995</v>
      </c>
      <c r="I31" s="40">
        <f t="shared" si="12"/>
        <v>2998.67</v>
      </c>
      <c r="J31" s="40">
        <f t="shared" si="12"/>
        <v>3932.84</v>
      </c>
      <c r="K31" s="40">
        <f t="shared" si="12"/>
        <v>3314.5</v>
      </c>
    </row>
    <row r="32" spans="1:11" x14ac:dyDescent="0.2">
      <c r="A32" s="32" t="s">
        <v>112</v>
      </c>
      <c r="B32" s="5">
        <f t="shared" ref="B32:K32" si="13">B31/B4</f>
        <v>0.10954192711353042</v>
      </c>
      <c r="C32" s="5">
        <f t="shared" si="13"/>
        <v>0.12240149456521739</v>
      </c>
      <c r="D32" s="5">
        <f t="shared" si="13"/>
        <v>0.14230354038647675</v>
      </c>
      <c r="E32" s="5">
        <f t="shared" si="13"/>
        <v>0.1591443054758305</v>
      </c>
      <c r="F32" s="5">
        <f t="shared" si="13"/>
        <v>0.15598691538520884</v>
      </c>
      <c r="G32" s="5">
        <f t="shared" si="13"/>
        <v>0.14371270078063364</v>
      </c>
      <c r="H32" s="5">
        <f t="shared" si="13"/>
        <v>0.14147633657178568</v>
      </c>
      <c r="I32" s="5">
        <f t="shared" si="13"/>
        <v>0.15678254550017517</v>
      </c>
      <c r="J32" s="5">
        <f t="shared" si="13"/>
        <v>0.16122233887256196</v>
      </c>
      <c r="K32" s="5">
        <f t="shared" si="13"/>
        <v>0.16407148754848636</v>
      </c>
    </row>
    <row r="33" spans="1:11" x14ac:dyDescent="0.2">
      <c r="A33" s="26"/>
    </row>
    <row r="34" spans="1:11" x14ac:dyDescent="0.2">
      <c r="A34" s="26" t="s">
        <v>151</v>
      </c>
      <c r="B34">
        <f>IFERROR('Data Sheet'!B93,0)</f>
        <v>192.8</v>
      </c>
      <c r="C34">
        <f>IFERROR('Data Sheet'!C93,0)</f>
        <v>192.8</v>
      </c>
      <c r="D34">
        <f>IFERROR('Data Sheet'!D93,0)</f>
        <v>192.8</v>
      </c>
      <c r="E34">
        <f>IFERROR('Data Sheet'!E93,0)</f>
        <v>192.8</v>
      </c>
      <c r="F34">
        <f>IFERROR('Data Sheet'!F93,0)</f>
        <v>192.8</v>
      </c>
      <c r="G34">
        <f>IFERROR('Data Sheet'!G93,0)</f>
        <v>192.8</v>
      </c>
      <c r="H34">
        <f>IFERROR('Data Sheet'!H93,0)</f>
        <v>192.8</v>
      </c>
      <c r="I34">
        <f>IFERROR('Data Sheet'!I93,0)</f>
        <v>192.8</v>
      </c>
      <c r="J34">
        <f>IFERROR('Data Sheet'!J93,0)</f>
        <v>192.83</v>
      </c>
      <c r="K34">
        <f>IFERROR('Data Sheet'!K93,0)</f>
        <v>192.83</v>
      </c>
    </row>
    <row r="35" spans="1:11" x14ac:dyDescent="0.2">
      <c r="A35" s="26"/>
    </row>
    <row r="36" spans="1:11" x14ac:dyDescent="0.2">
      <c r="A36" s="26" t="s">
        <v>57</v>
      </c>
      <c r="B36" s="39">
        <f>B31/B34</f>
        <v>5.1937759336099587</v>
      </c>
      <c r="C36" s="39">
        <f t="shared" ref="C36:K36" si="14">C31/C34</f>
        <v>6.3547199170124484</v>
      </c>
      <c r="D36" s="39">
        <f t="shared" si="14"/>
        <v>8.3346991701244804</v>
      </c>
      <c r="E36" s="39">
        <f t="shared" si="14"/>
        <v>10.209751037344397</v>
      </c>
      <c r="F36" s="39">
        <f t="shared" si="14"/>
        <v>10.800985477178422</v>
      </c>
      <c r="G36" s="39">
        <f t="shared" si="14"/>
        <v>10.987603734439835</v>
      </c>
      <c r="H36" s="39">
        <f t="shared" si="14"/>
        <v>12.398962655601657</v>
      </c>
      <c r="I36" s="39">
        <f t="shared" si="14"/>
        <v>15.553267634854771</v>
      </c>
      <c r="J36" s="39">
        <f t="shared" si="14"/>
        <v>20.395374163771198</v>
      </c>
      <c r="K36" s="39">
        <f t="shared" si="14"/>
        <v>17.188715448840949</v>
      </c>
    </row>
    <row r="37" spans="1:11" x14ac:dyDescent="0.2">
      <c r="A37" s="26" t="s">
        <v>152</v>
      </c>
    </row>
    <row r="38" spans="1:11" x14ac:dyDescent="0.2">
      <c r="A38" s="26" t="s">
        <v>113</v>
      </c>
      <c r="B38" s="40">
        <f>IFERROR('Data Sheet'!B31/'Historical FS'!B34,0)</f>
        <v>3.1506742738589213</v>
      </c>
      <c r="C38" s="40">
        <f>IFERROR('Data Sheet'!C31/'Historical FS'!C34,0)</f>
        <v>4.3008817427385893</v>
      </c>
      <c r="D38" s="40">
        <f>IFERROR('Data Sheet'!D31/'Historical FS'!D34,0)</f>
        <v>5.7511929460580902</v>
      </c>
      <c r="E38" s="40">
        <f>IFERROR('Data Sheet'!E31/'Historical FS'!E34,0)</f>
        <v>17.103526970954356</v>
      </c>
      <c r="F38" s="40">
        <f>IFERROR('Data Sheet'!F31/'Historical FS'!F34,0)</f>
        <v>10.00207468879668</v>
      </c>
      <c r="G38" s="40">
        <f>IFERROR('Data Sheet'!G31/'Historical FS'!G34,0)</f>
        <v>10.00207468879668</v>
      </c>
      <c r="H38" s="40">
        <f>IFERROR('Data Sheet'!H31/'Historical FS'!H34,0)</f>
        <v>11.002282157676348</v>
      </c>
      <c r="I38" s="40">
        <f>IFERROR('Data Sheet'!I31/'Historical FS'!I34,0)</f>
        <v>8.7018153526970945</v>
      </c>
      <c r="J38" s="40">
        <f>IFERROR('Data Sheet'!J31/'Historical FS'!J34,0)</f>
        <v>16.100814188663588</v>
      </c>
      <c r="K38" s="40">
        <f>IFERROR('Data Sheet'!K31/'Historical FS'!K34,0)</f>
        <v>13.500700098532386</v>
      </c>
    </row>
    <row r="39" spans="1:11" x14ac:dyDescent="0.2">
      <c r="A39" s="26" t="s">
        <v>114</v>
      </c>
      <c r="B39" s="5">
        <f>IFERROR(B38/B36,0)</f>
        <v>0.6066249900135815</v>
      </c>
      <c r="C39" s="5">
        <f t="shared" ref="C39:K39" si="15">IFERROR(C38/C36,0)</f>
        <v>0.67680114920951029</v>
      </c>
      <c r="D39" s="5">
        <f t="shared" si="15"/>
        <v>0.69003005731425759</v>
      </c>
      <c r="E39" s="5">
        <f t="shared" si="15"/>
        <v>1.6752148909796591</v>
      </c>
      <c r="F39" s="5">
        <f t="shared" si="15"/>
        <v>0.92603352813780071</v>
      </c>
      <c r="G39" s="5">
        <f t="shared" si="15"/>
        <v>0.91030537053733684</v>
      </c>
      <c r="H39" s="5">
        <f t="shared" si="15"/>
        <v>0.88735505245720603</v>
      </c>
      <c r="I39" s="5">
        <f t="shared" si="15"/>
        <v>0.55948470488583268</v>
      </c>
      <c r="J39" s="5">
        <f t="shared" si="15"/>
        <v>0.78943460705240986</v>
      </c>
      <c r="K39" s="5">
        <f t="shared" si="15"/>
        <v>0.78543973449992455</v>
      </c>
    </row>
    <row r="41" spans="1:11" x14ac:dyDescent="0.2">
      <c r="A41" s="26" t="s">
        <v>115</v>
      </c>
      <c r="B41" s="5">
        <f>IFERROR(1-B39,0)</f>
        <v>0.3933750099864185</v>
      </c>
      <c r="C41" s="5">
        <f t="shared" ref="C41:K41" si="16">IFERROR(1-C39,0)</f>
        <v>0.32319885079048971</v>
      </c>
      <c r="D41" s="5">
        <f t="shared" si="16"/>
        <v>0.30996994268574241</v>
      </c>
      <c r="E41" s="5">
        <f t="shared" si="16"/>
        <v>-0.67521489097965914</v>
      </c>
      <c r="F41" s="5">
        <f t="shared" si="16"/>
        <v>7.396647186219929E-2</v>
      </c>
      <c r="G41" s="5">
        <f t="shared" si="16"/>
        <v>8.9694629462663156E-2</v>
      </c>
      <c r="H41" s="5">
        <f t="shared" si="16"/>
        <v>0.11264494754279397</v>
      </c>
      <c r="I41" s="5">
        <f t="shared" si="16"/>
        <v>0.44051529511416732</v>
      </c>
      <c r="J41" s="5">
        <f t="shared" si="16"/>
        <v>0.21056539294759014</v>
      </c>
      <c r="K41" s="5">
        <f t="shared" si="16"/>
        <v>0.21456026550007545</v>
      </c>
    </row>
    <row r="42" spans="1:11" x14ac:dyDescent="0.2">
      <c r="A42" s="26"/>
      <c r="B42" s="5">
        <f>IFERROR(IF(B36&gt;B38,1-B39,0),0)</f>
        <v>0.3933750099864185</v>
      </c>
      <c r="C42" s="5">
        <f t="shared" ref="C42:K42" si="17">IFERROR(IF(C36&gt;C38,1-C39,0),0)</f>
        <v>0.32319885079048971</v>
      </c>
      <c r="D42" s="5">
        <f t="shared" si="17"/>
        <v>0.30996994268574241</v>
      </c>
      <c r="E42" s="5">
        <f t="shared" si="17"/>
        <v>0</v>
      </c>
      <c r="F42" s="5">
        <f t="shared" si="17"/>
        <v>7.396647186219929E-2</v>
      </c>
      <c r="G42" s="5">
        <f t="shared" si="17"/>
        <v>8.9694629462663156E-2</v>
      </c>
      <c r="H42" s="5">
        <f t="shared" si="17"/>
        <v>0.11264494754279397</v>
      </c>
      <c r="I42" s="5">
        <f t="shared" si="17"/>
        <v>0.44051529511416732</v>
      </c>
      <c r="J42" s="5">
        <f t="shared" si="17"/>
        <v>0.21056539294759014</v>
      </c>
      <c r="K42" s="5">
        <f t="shared" si="17"/>
        <v>0.21456026550007545</v>
      </c>
    </row>
    <row r="43" spans="1:11" x14ac:dyDescent="0.2">
      <c r="A43" s="26"/>
    </row>
    <row r="44" spans="1:11" x14ac:dyDescent="0.2">
      <c r="A44" s="34" t="s">
        <v>40</v>
      </c>
    </row>
    <row r="45" spans="1:11" x14ac:dyDescent="0.2">
      <c r="A45" s="26" t="s">
        <v>24</v>
      </c>
      <c r="B45" s="42">
        <f>IFERROR('Data Sheet'!B57,0)</f>
        <v>96.42</v>
      </c>
      <c r="C45" s="42">
        <f>IFERROR('Data Sheet'!C57,0)</f>
        <v>96.42</v>
      </c>
      <c r="D45" s="42">
        <f>IFERROR('Data Sheet'!D57,0)</f>
        <v>96.42</v>
      </c>
      <c r="E45" s="42">
        <f>IFERROR('Data Sheet'!E57,0)</f>
        <v>96.42</v>
      </c>
      <c r="F45" s="42">
        <f>IFERROR('Data Sheet'!F57,0)</f>
        <v>96.42</v>
      </c>
      <c r="G45" s="42">
        <f>IFERROR('Data Sheet'!G57,0)</f>
        <v>96.42</v>
      </c>
      <c r="H45" s="42">
        <f>IFERROR('Data Sheet'!H57,0)</f>
        <v>96.42</v>
      </c>
      <c r="I45" s="42">
        <f>IFERROR('Data Sheet'!I57,0)</f>
        <v>96.42</v>
      </c>
      <c r="J45" s="42">
        <f>IFERROR('Data Sheet'!J57,0)</f>
        <v>96.42</v>
      </c>
      <c r="K45" s="42">
        <f>IFERROR('Data Sheet'!K57,0)</f>
        <v>96.42</v>
      </c>
    </row>
    <row r="46" spans="1:11" x14ac:dyDescent="0.2">
      <c r="A46" s="26" t="s">
        <v>25</v>
      </c>
      <c r="B46" s="42">
        <f>IFERROR('Data Sheet'!B58,0)</f>
        <v>3185.91</v>
      </c>
      <c r="C46" s="42">
        <f>IFERROR('Data Sheet'!C58,0)</f>
        <v>3324.17</v>
      </c>
      <c r="D46" s="42">
        <f>IFERROR('Data Sheet'!D58,0)</f>
        <v>3577.32</v>
      </c>
      <c r="E46" s="42">
        <f>IFERROR('Data Sheet'!E58,0)</f>
        <v>1822.45</v>
      </c>
      <c r="F46" s="42">
        <f>IFERROR('Data Sheet'!F58,0)</f>
        <v>1922.92</v>
      </c>
      <c r="G46" s="42">
        <f>IFERROR('Data Sheet'!G58,0)</f>
        <v>1849.96</v>
      </c>
      <c r="H46" s="42">
        <f>IFERROR('Data Sheet'!H58,0)</f>
        <v>2362.75</v>
      </c>
      <c r="I46" s="42">
        <f>IFERROR('Data Sheet'!I58,0)</f>
        <v>2362.75</v>
      </c>
      <c r="J46" s="42">
        <f>IFERROR('Data Sheet'!J58,0)</f>
        <v>3244.47</v>
      </c>
      <c r="K46" s="42">
        <f>IFERROR('Data Sheet'!K58,0)</f>
        <v>4020.73</v>
      </c>
    </row>
    <row r="47" spans="1:11" x14ac:dyDescent="0.2">
      <c r="A47" s="26" t="s">
        <v>71</v>
      </c>
      <c r="B47" s="42">
        <f>IFERROR('Data Sheet'!B59,0)</f>
        <v>33.15</v>
      </c>
      <c r="C47" s="42">
        <f>IFERROR('Data Sheet'!C59,0)</f>
        <v>35.14</v>
      </c>
      <c r="D47" s="42">
        <f>IFERROR('Data Sheet'!D59,0)</f>
        <v>35.14</v>
      </c>
      <c r="E47" s="42">
        <f>IFERROR('Data Sheet'!E59,0)</f>
        <v>188.94</v>
      </c>
      <c r="F47" s="42">
        <f>IFERROR('Data Sheet'!F59,0)</f>
        <v>147.49</v>
      </c>
      <c r="G47" s="42">
        <f>IFERROR('Data Sheet'!G59,0)</f>
        <v>266.45999999999998</v>
      </c>
      <c r="H47" s="42">
        <f>IFERROR('Data Sheet'!H59,0)</f>
        <v>270.52</v>
      </c>
      <c r="I47" s="42">
        <f>IFERROR('Data Sheet'!I59,0)</f>
        <v>270.52</v>
      </c>
      <c r="J47" s="42">
        <f>IFERROR('Data Sheet'!J59,0)</f>
        <v>344.53</v>
      </c>
      <c r="K47" s="42">
        <f>IFERROR('Data Sheet'!K59,0)</f>
        <v>1166.8499999999999</v>
      </c>
    </row>
    <row r="48" spans="1:11" x14ac:dyDescent="0.2">
      <c r="A48" s="26" t="s">
        <v>72</v>
      </c>
      <c r="B48" s="42">
        <f>IFERROR('Data Sheet'!B60,0)</f>
        <v>3494.98</v>
      </c>
      <c r="C48" s="42">
        <f>IFERROR('Data Sheet'!C60,0)</f>
        <v>3906.86</v>
      </c>
      <c r="D48" s="42">
        <f>IFERROR('Data Sheet'!D60,0)</f>
        <v>4379.2</v>
      </c>
      <c r="E48" s="42">
        <f>IFERROR('Data Sheet'!E60,0)</f>
        <v>5065.13</v>
      </c>
      <c r="F48" s="42">
        <f>IFERROR('Data Sheet'!F60,0)</f>
        <v>5732.9</v>
      </c>
      <c r="G48" s="42">
        <f>IFERROR('Data Sheet'!G60,0)</f>
        <v>6021.29</v>
      </c>
      <c r="H48" s="42">
        <f>IFERROR('Data Sheet'!H60,0)</f>
        <v>6249.05</v>
      </c>
      <c r="I48" s="42">
        <f>IFERROR('Data Sheet'!I60,0)</f>
        <v>6249.05</v>
      </c>
      <c r="J48" s="42">
        <f>IFERROR('Data Sheet'!J60,0)</f>
        <v>6837.64</v>
      </c>
      <c r="K48" s="42">
        <f>IFERROR('Data Sheet'!K60,0)</f>
        <v>7039.89</v>
      </c>
    </row>
    <row r="49" spans="1:11" ht="16" thickBot="1" x14ac:dyDescent="0.25">
      <c r="A49" s="27" t="s">
        <v>116</v>
      </c>
      <c r="B49" s="43">
        <f t="shared" ref="B49:K49" si="18">SUM(B45:B48)</f>
        <v>6810.46</v>
      </c>
      <c r="C49" s="43">
        <f t="shared" si="18"/>
        <v>7362.59</v>
      </c>
      <c r="D49" s="43">
        <f t="shared" si="18"/>
        <v>8088.08</v>
      </c>
      <c r="E49" s="43">
        <f t="shared" si="18"/>
        <v>7172.9400000000005</v>
      </c>
      <c r="F49" s="43">
        <f t="shared" si="18"/>
        <v>7899.73</v>
      </c>
      <c r="G49" s="43">
        <f t="shared" si="18"/>
        <v>8234.130000000001</v>
      </c>
      <c r="H49" s="43">
        <f t="shared" si="18"/>
        <v>8978.74</v>
      </c>
      <c r="I49" s="43">
        <f t="shared" si="18"/>
        <v>8978.74</v>
      </c>
      <c r="J49" s="43">
        <f t="shared" si="18"/>
        <v>10523.060000000001</v>
      </c>
      <c r="K49" s="43">
        <f t="shared" si="18"/>
        <v>12323.89</v>
      </c>
    </row>
    <row r="50" spans="1:11" ht="16" thickTop="1" x14ac:dyDescent="0.2">
      <c r="A50" s="27"/>
      <c r="B50" s="42"/>
      <c r="C50" s="42"/>
      <c r="D50" s="42"/>
      <c r="E50" s="42"/>
      <c r="F50" s="42"/>
      <c r="G50" s="42"/>
      <c r="H50" s="42"/>
      <c r="I50" s="42"/>
      <c r="J50" s="42"/>
      <c r="K50" s="42"/>
    </row>
    <row r="51" spans="1:11" x14ac:dyDescent="0.2">
      <c r="A51" s="26" t="s">
        <v>117</v>
      </c>
      <c r="B51" s="42">
        <f>IFERROR('Data Sheet'!B62,0)</f>
        <v>2730.14</v>
      </c>
      <c r="C51" s="42">
        <f>IFERROR('Data Sheet'!C62,0)</f>
        <v>2616.1799999999998</v>
      </c>
      <c r="D51" s="42">
        <f>IFERROR('Data Sheet'!D62,0)</f>
        <v>2400.62</v>
      </c>
      <c r="E51" s="42">
        <f>IFERROR('Data Sheet'!E62,0)</f>
        <v>2341.4499999999998</v>
      </c>
      <c r="F51" s="42">
        <f>IFERROR('Data Sheet'!F62,0)</f>
        <v>2179.41</v>
      </c>
      <c r="G51" s="42">
        <f>IFERROR('Data Sheet'!G62,0)</f>
        <v>2994.67</v>
      </c>
      <c r="H51" s="42">
        <f>IFERROR('Data Sheet'!H62,0)</f>
        <v>3043.7</v>
      </c>
      <c r="I51" s="42">
        <f>IFERROR('Data Sheet'!I62,0)</f>
        <v>3043.7</v>
      </c>
      <c r="J51" s="42">
        <f>IFERROR('Data Sheet'!J62,0)</f>
        <v>3460.25</v>
      </c>
      <c r="K51" s="42">
        <f>IFERROR('Data Sheet'!K62,0)</f>
        <v>5473.61</v>
      </c>
    </row>
    <row r="52" spans="1:11" x14ac:dyDescent="0.2">
      <c r="A52" s="26" t="s">
        <v>28</v>
      </c>
      <c r="B52" s="42">
        <f>IFERROR('Data Sheet'!B63,0)</f>
        <v>188.17</v>
      </c>
      <c r="C52" s="42">
        <f>IFERROR('Data Sheet'!C63,0)</f>
        <v>94.16</v>
      </c>
      <c r="D52" s="42">
        <f>IFERROR('Data Sheet'!D63,0)</f>
        <v>105.2</v>
      </c>
      <c r="E52" s="42">
        <f>IFERROR('Data Sheet'!E63,0)</f>
        <v>143.30000000000001</v>
      </c>
      <c r="F52" s="42">
        <f>IFERROR('Data Sheet'!F63,0)</f>
        <v>638.58000000000004</v>
      </c>
      <c r="G52" s="42">
        <f>IFERROR('Data Sheet'!G63,0)</f>
        <v>246.23</v>
      </c>
      <c r="H52" s="42">
        <f>IFERROR('Data Sheet'!H63,0)</f>
        <v>358.36</v>
      </c>
      <c r="I52" s="42">
        <f>IFERROR('Data Sheet'!I63,0)</f>
        <v>358.36</v>
      </c>
      <c r="J52" s="42">
        <f>IFERROR('Data Sheet'!J63,0)</f>
        <v>1741.71</v>
      </c>
      <c r="K52" s="42">
        <f>IFERROR('Data Sheet'!K63,0)</f>
        <v>1172.56</v>
      </c>
    </row>
    <row r="53" spans="1:11" x14ac:dyDescent="0.2">
      <c r="A53" s="26" t="s">
        <v>29</v>
      </c>
      <c r="B53" s="42">
        <f>IFERROR('Data Sheet'!B64,0)</f>
        <v>1755.66</v>
      </c>
      <c r="C53" s="42">
        <f>IFERROR('Data Sheet'!C64,0)</f>
        <v>1978.87</v>
      </c>
      <c r="D53" s="42">
        <f>IFERROR('Data Sheet'!D64,0)</f>
        <v>2658.49</v>
      </c>
      <c r="E53" s="42">
        <f>IFERROR('Data Sheet'!E64,0)</f>
        <v>1751.05</v>
      </c>
      <c r="F53" s="42">
        <f>IFERROR('Data Sheet'!F64,0)</f>
        <v>1463.77</v>
      </c>
      <c r="G53" s="42">
        <f>IFERROR('Data Sheet'!G64,0)</f>
        <v>773.98</v>
      </c>
      <c r="H53" s="42">
        <f>IFERROR('Data Sheet'!H64,0)</f>
        <v>777.54</v>
      </c>
      <c r="I53" s="42">
        <f>IFERROR('Data Sheet'!I64,0)</f>
        <v>777.54</v>
      </c>
      <c r="J53" s="42">
        <f>IFERROR('Data Sheet'!J64,0)</f>
        <v>463.87</v>
      </c>
      <c r="K53" s="42">
        <f>IFERROR('Data Sheet'!K64,0)</f>
        <v>705.6</v>
      </c>
    </row>
    <row r="54" spans="1:11" x14ac:dyDescent="0.2">
      <c r="A54" s="26" t="s">
        <v>73</v>
      </c>
      <c r="B54" s="42">
        <f>'Data Sheet'!B65-SUM('Data Sheet'!B67:B69)</f>
        <v>218.49999999999977</v>
      </c>
      <c r="C54" s="42">
        <f>'Data Sheet'!C65-SUM('Data Sheet'!C67:C69)</f>
        <v>224.51999999999998</v>
      </c>
      <c r="D54" s="42">
        <f>'Data Sheet'!D65-SUM('Data Sheet'!D67:D69)</f>
        <v>223.57000000000016</v>
      </c>
      <c r="E54" s="42">
        <f>'Data Sheet'!E65-SUM('Data Sheet'!E67:E69)</f>
        <v>221.69000000000005</v>
      </c>
      <c r="F54" s="42">
        <f>'Data Sheet'!F65-SUM('Data Sheet'!F67:F69)</f>
        <v>266.69000000000005</v>
      </c>
      <c r="G54" s="42">
        <f>'Data Sheet'!G65-SUM('Data Sheet'!G67:G69)</f>
        <v>1725.2199999999998</v>
      </c>
      <c r="H54" s="42">
        <f>'Data Sheet'!H65-SUM('Data Sheet'!H67:H69)</f>
        <v>1732.9300000000003</v>
      </c>
      <c r="I54" s="42">
        <f>'Data Sheet'!I65-SUM('Data Sheet'!I67:I69)</f>
        <v>1732.9300000000003</v>
      </c>
      <c r="J54" s="42">
        <f>'Data Sheet'!J65-SUM('Data Sheet'!J67:J69)</f>
        <v>1688.5599999999995</v>
      </c>
      <c r="K54" s="42">
        <f>'Data Sheet'!K65-SUM('Data Sheet'!K67:K69)</f>
        <v>1663.1799999999998</v>
      </c>
    </row>
    <row r="55" spans="1:11" x14ac:dyDescent="0.2">
      <c r="A55" s="27" t="s">
        <v>118</v>
      </c>
      <c r="B55" s="44">
        <f t="shared" ref="B55:K55" si="19">SUM(B51:B54)</f>
        <v>4892.47</v>
      </c>
      <c r="C55" s="44">
        <f t="shared" si="19"/>
        <v>4913.7299999999996</v>
      </c>
      <c r="D55" s="44">
        <f t="shared" si="19"/>
        <v>5387.8799999999992</v>
      </c>
      <c r="E55" s="44">
        <f t="shared" si="19"/>
        <v>4457.49</v>
      </c>
      <c r="F55" s="44">
        <f t="shared" si="19"/>
        <v>4548.4500000000007</v>
      </c>
      <c r="G55" s="44">
        <f t="shared" si="19"/>
        <v>5740.1</v>
      </c>
      <c r="H55" s="44">
        <f t="shared" si="19"/>
        <v>5912.5300000000007</v>
      </c>
      <c r="I55" s="44">
        <f t="shared" si="19"/>
        <v>5912.5300000000007</v>
      </c>
      <c r="J55" s="44">
        <f t="shared" si="19"/>
        <v>7354.3899999999994</v>
      </c>
      <c r="K55" s="44">
        <f t="shared" si="19"/>
        <v>9014.9500000000007</v>
      </c>
    </row>
    <row r="56" spans="1:11" x14ac:dyDescent="0.2">
      <c r="A56" s="27"/>
    </row>
    <row r="57" spans="1:11" x14ac:dyDescent="0.2">
      <c r="A57" s="26" t="s">
        <v>78</v>
      </c>
      <c r="B57" s="42">
        <f>IFERROR('Data Sheet'!B67,0)</f>
        <v>97.93</v>
      </c>
      <c r="C57" s="42">
        <f>IFERROR('Data Sheet'!C67,0)</f>
        <v>88.97</v>
      </c>
      <c r="D57" s="42">
        <f>IFERROR('Data Sheet'!D67,0)</f>
        <v>124.59</v>
      </c>
      <c r="E57" s="42">
        <f>IFERROR('Data Sheet'!E67,0)</f>
        <v>124.33</v>
      </c>
      <c r="F57" s="42">
        <f>IFERROR('Data Sheet'!F67,0)</f>
        <v>164.93</v>
      </c>
      <c r="G57" s="42">
        <f>IFERROR('Data Sheet'!G67,0)</f>
        <v>165.97</v>
      </c>
      <c r="H57" s="42">
        <f>IFERROR('Data Sheet'!H67,0)</f>
        <v>191.89</v>
      </c>
      <c r="I57" s="42">
        <f>IFERROR('Data Sheet'!I67,0)</f>
        <v>191.89</v>
      </c>
      <c r="J57" s="42">
        <f>IFERROR('Data Sheet'!J67,0)</f>
        <v>300.45999999999998</v>
      </c>
      <c r="K57" s="42">
        <f>IFERROR('Data Sheet'!K67,0)</f>
        <v>363.15</v>
      </c>
    </row>
    <row r="58" spans="1:11" x14ac:dyDescent="0.2">
      <c r="A58" s="26" t="s">
        <v>45</v>
      </c>
      <c r="B58" s="42">
        <f>IFERROR('Data Sheet'!B68,0)</f>
        <v>940.06</v>
      </c>
      <c r="C58" s="42">
        <f>IFERROR('Data Sheet'!C68,0)</f>
        <v>902.47</v>
      </c>
      <c r="D58" s="42">
        <f>IFERROR('Data Sheet'!D68,0)</f>
        <v>965.55</v>
      </c>
      <c r="E58" s="42">
        <f>IFERROR('Data Sheet'!E68,0)</f>
        <v>1283.07</v>
      </c>
      <c r="F58" s="42">
        <f>IFERROR('Data Sheet'!F68,0)</f>
        <v>1416.48</v>
      </c>
      <c r="G58" s="42">
        <f>IFERROR('Data Sheet'!G68,0)</f>
        <v>1592.65</v>
      </c>
      <c r="H58" s="42">
        <f>IFERROR('Data Sheet'!H68,0)</f>
        <v>1928.77</v>
      </c>
      <c r="I58" s="42">
        <f>IFERROR('Data Sheet'!I68,0)</f>
        <v>1928.77</v>
      </c>
      <c r="J58" s="42">
        <f>IFERROR('Data Sheet'!J68,0)</f>
        <v>2089.36</v>
      </c>
      <c r="K58" s="42">
        <f>IFERROR('Data Sheet'!K68,0)</f>
        <v>2850.14</v>
      </c>
    </row>
    <row r="59" spans="1:11" x14ac:dyDescent="0.2">
      <c r="A59" s="26" t="s">
        <v>87</v>
      </c>
      <c r="B59" s="42">
        <f>IFERROR('Data Sheet'!B69,0)</f>
        <v>880</v>
      </c>
      <c r="C59" s="42">
        <f>IFERROR('Data Sheet'!C69,0)</f>
        <v>1457.42</v>
      </c>
      <c r="D59" s="42">
        <f>IFERROR('Data Sheet'!D69,0)</f>
        <v>1610.06</v>
      </c>
      <c r="E59" s="42">
        <f>IFERROR('Data Sheet'!E69,0)</f>
        <v>1308.05</v>
      </c>
      <c r="F59" s="42">
        <f>IFERROR('Data Sheet'!F69,0)</f>
        <v>1769.87</v>
      </c>
      <c r="G59" s="42">
        <f>IFERROR('Data Sheet'!G69,0)</f>
        <v>735.41</v>
      </c>
      <c r="H59" s="42">
        <f>IFERROR('Data Sheet'!H69,0)</f>
        <v>945.55</v>
      </c>
      <c r="I59" s="42">
        <f>IFERROR('Data Sheet'!I69,0)</f>
        <v>945.55</v>
      </c>
      <c r="J59" s="42">
        <f>IFERROR('Data Sheet'!J69,0)</f>
        <v>778.85</v>
      </c>
      <c r="K59" s="42">
        <f>IFERROR('Data Sheet'!K69,0)</f>
        <v>95.65</v>
      </c>
    </row>
    <row r="60" spans="1:11" x14ac:dyDescent="0.2">
      <c r="A60" s="27" t="s">
        <v>119</v>
      </c>
      <c r="B60" s="44">
        <f>SUM(B57:B59)</f>
        <v>1917.99</v>
      </c>
      <c r="C60" s="44">
        <f t="shared" ref="C60:K60" si="20">SUM(C57:C59)</f>
        <v>2448.86</v>
      </c>
      <c r="D60" s="44">
        <f t="shared" si="20"/>
        <v>2700.2</v>
      </c>
      <c r="E60" s="44">
        <f t="shared" si="20"/>
        <v>2715.45</v>
      </c>
      <c r="F60" s="44">
        <f t="shared" si="20"/>
        <v>3351.2799999999997</v>
      </c>
      <c r="G60" s="44">
        <f t="shared" si="20"/>
        <v>2494.0300000000002</v>
      </c>
      <c r="H60" s="44">
        <f t="shared" si="20"/>
        <v>3066.21</v>
      </c>
      <c r="I60" s="44">
        <f t="shared" si="20"/>
        <v>3066.21</v>
      </c>
      <c r="J60" s="44">
        <f t="shared" si="20"/>
        <v>3168.67</v>
      </c>
      <c r="K60" s="44">
        <f t="shared" si="20"/>
        <v>3308.94</v>
      </c>
    </row>
    <row r="61" spans="1:11" x14ac:dyDescent="0.2">
      <c r="A61" s="26"/>
    </row>
    <row r="62" spans="1:11" ht="16" thickBot="1" x14ac:dyDescent="0.25">
      <c r="A62" s="27" t="s">
        <v>120</v>
      </c>
      <c r="B62" s="45">
        <f t="shared" ref="B62:K62" si="21">SUM(B55,B60)</f>
        <v>6810.46</v>
      </c>
      <c r="C62" s="45">
        <f t="shared" si="21"/>
        <v>7362.59</v>
      </c>
      <c r="D62" s="45">
        <f t="shared" si="21"/>
        <v>8088.079999999999</v>
      </c>
      <c r="E62" s="45">
        <f t="shared" si="21"/>
        <v>7172.94</v>
      </c>
      <c r="F62" s="45">
        <f t="shared" si="21"/>
        <v>7899.7300000000005</v>
      </c>
      <c r="G62" s="45">
        <f t="shared" si="21"/>
        <v>8234.130000000001</v>
      </c>
      <c r="H62" s="45">
        <f t="shared" si="21"/>
        <v>8978.7400000000016</v>
      </c>
      <c r="I62" s="45">
        <f t="shared" si="21"/>
        <v>8978.7400000000016</v>
      </c>
      <c r="J62" s="45">
        <f t="shared" si="21"/>
        <v>10523.06</v>
      </c>
      <c r="K62" s="45">
        <f t="shared" si="21"/>
        <v>12323.890000000001</v>
      </c>
    </row>
    <row r="63" spans="1:11" ht="16" thickTop="1" x14ac:dyDescent="0.2">
      <c r="A63" s="26"/>
    </row>
    <row r="64" spans="1:11" x14ac:dyDescent="0.2">
      <c r="A64" s="27" t="s">
        <v>153</v>
      </c>
      <c r="B64" s="2" t="b">
        <f t="shared" ref="B64:K64" si="22">B49=B62</f>
        <v>1</v>
      </c>
      <c r="C64" s="2" t="b">
        <f t="shared" si="22"/>
        <v>1</v>
      </c>
      <c r="D64" s="2" t="b">
        <f t="shared" si="22"/>
        <v>1</v>
      </c>
      <c r="E64" s="2" t="b">
        <f t="shared" si="22"/>
        <v>1</v>
      </c>
      <c r="F64" s="2" t="b">
        <f t="shared" si="22"/>
        <v>1</v>
      </c>
      <c r="G64" s="2" t="b">
        <f t="shared" si="22"/>
        <v>1</v>
      </c>
      <c r="H64" s="2" t="b">
        <f t="shared" si="22"/>
        <v>1</v>
      </c>
      <c r="I64" s="2" t="b">
        <f t="shared" si="22"/>
        <v>1</v>
      </c>
      <c r="J64" s="2" t="b">
        <f t="shared" si="22"/>
        <v>1</v>
      </c>
      <c r="K64" s="2" t="b">
        <f t="shared" si="22"/>
        <v>1</v>
      </c>
    </row>
    <row r="65" spans="1:11" x14ac:dyDescent="0.2">
      <c r="A65" s="26"/>
    </row>
    <row r="66" spans="1:11" x14ac:dyDescent="0.2">
      <c r="A66" s="26"/>
    </row>
    <row r="67" spans="1:11" x14ac:dyDescent="0.2">
      <c r="A67" s="34" t="s">
        <v>121</v>
      </c>
    </row>
    <row r="68" spans="1:11" x14ac:dyDescent="0.2">
      <c r="A68" s="28" t="s">
        <v>122</v>
      </c>
    </row>
    <row r="69" spans="1:11" x14ac:dyDescent="0.2">
      <c r="A69" s="26" t="s">
        <v>123</v>
      </c>
      <c r="B69" s="39">
        <f>IFERROR('cash flows'!D6,0)</f>
        <v>1765</v>
      </c>
      <c r="C69" s="39">
        <f>IFERROR('cash flows'!E6,0)</f>
        <v>2047</v>
      </c>
      <c r="D69" s="39">
        <f>IFERROR('cash flows'!F6,0)</f>
        <v>2521</v>
      </c>
      <c r="E69" s="39">
        <f>IFERROR('cash flows'!G6,0)</f>
        <v>2805</v>
      </c>
      <c r="F69" s="39">
        <f>IFERROR('cash flows'!H6,0)</f>
        <v>3061</v>
      </c>
      <c r="G69" s="39">
        <f>IFERROR('cash flows'!I6,0)</f>
        <v>3136</v>
      </c>
      <c r="H69" s="39">
        <f>IFERROR('cash flows'!J6,0)</f>
        <v>3609</v>
      </c>
      <c r="I69" s="39">
        <f>IFERROR('cash flows'!K6,0)</f>
        <v>4388</v>
      </c>
      <c r="J69" s="39">
        <f>IFERROR('cash flows'!L6,0)</f>
        <v>5722</v>
      </c>
      <c r="K69" s="39">
        <f>IFERROR('cash flows'!M6,0)</f>
        <v>4672</v>
      </c>
    </row>
    <row r="70" spans="1:11" x14ac:dyDescent="0.2">
      <c r="A70" s="26" t="s">
        <v>78</v>
      </c>
      <c r="B70" s="39">
        <f>IFERROR('cash flows'!D7,0)</f>
        <v>-19</v>
      </c>
      <c r="C70" s="39">
        <f>IFERROR('cash flows'!E7,0)</f>
        <v>8</v>
      </c>
      <c r="D70" s="39">
        <f>IFERROR('cash flows'!F7,0)</f>
        <v>-36</v>
      </c>
      <c r="E70" s="39">
        <f>IFERROR('cash flows'!G7,0)</f>
        <v>0</v>
      </c>
      <c r="F70" s="39">
        <f>IFERROR('cash flows'!H7,0)</f>
        <v>-42</v>
      </c>
      <c r="G70" s="39">
        <f>IFERROR('cash flows'!I7,0)</f>
        <v>-2</v>
      </c>
      <c r="H70" s="39">
        <f>IFERROR('cash flows'!J7,0)</f>
        <v>-28</v>
      </c>
      <c r="I70" s="39">
        <f>IFERROR('cash flows'!K7,0)</f>
        <v>-11</v>
      </c>
      <c r="J70" s="39">
        <f>IFERROR('cash flows'!L7,0)</f>
        <v>-109</v>
      </c>
      <c r="K70" s="39">
        <f>IFERROR('cash flows'!M7,0)</f>
        <v>-70</v>
      </c>
    </row>
    <row r="71" spans="1:11" x14ac:dyDescent="0.2">
      <c r="A71" s="26" t="s">
        <v>45</v>
      </c>
      <c r="B71" s="39">
        <f>IFERROR('cash flows'!D8,0)</f>
        <v>-119</v>
      </c>
      <c r="C71" s="39">
        <f>IFERROR('cash flows'!E8,0)</f>
        <v>38</v>
      </c>
      <c r="D71" s="39">
        <f>IFERROR('cash flows'!F8,0)</f>
        <v>-63</v>
      </c>
      <c r="E71" s="39">
        <f>IFERROR('cash flows'!G8,0)</f>
        <v>-318</v>
      </c>
      <c r="F71" s="39">
        <f>IFERROR('cash flows'!H8,0)</f>
        <v>-133</v>
      </c>
      <c r="G71" s="39">
        <f>IFERROR('cash flows'!I8,0)</f>
        <v>-169</v>
      </c>
      <c r="H71" s="39">
        <f>IFERROR('cash flows'!J8,0)</f>
        <v>-336</v>
      </c>
      <c r="I71" s="39">
        <f>IFERROR('cash flows'!K8,0)</f>
        <v>56</v>
      </c>
      <c r="J71" s="39">
        <f>IFERROR('cash flows'!L8,0)</f>
        <v>-161</v>
      </c>
      <c r="K71" s="39">
        <f>IFERROR('cash flows'!M8,0)</f>
        <v>-767</v>
      </c>
    </row>
    <row r="72" spans="1:11" x14ac:dyDescent="0.2">
      <c r="A72" s="26" t="s">
        <v>124</v>
      </c>
      <c r="B72" s="39">
        <f>IFERROR('cash flows'!D9,0)</f>
        <v>50</v>
      </c>
      <c r="C72" s="39">
        <f>IFERROR('cash flows'!E9,0)</f>
        <v>185</v>
      </c>
      <c r="D72" s="39">
        <f>IFERROR('cash flows'!F9,0)</f>
        <v>257</v>
      </c>
      <c r="E72" s="39">
        <f>IFERROR('cash flows'!G9,0)</f>
        <v>253</v>
      </c>
      <c r="F72" s="39">
        <f>IFERROR('cash flows'!H9,0)</f>
        <v>23</v>
      </c>
      <c r="G72" s="39">
        <f>IFERROR('cash flows'!I9,0)</f>
        <v>217</v>
      </c>
      <c r="H72" s="39">
        <f>IFERROR('cash flows'!J9,0)</f>
        <v>178</v>
      </c>
      <c r="I72" s="39">
        <f>IFERROR('cash flows'!K9,0)</f>
        <v>68</v>
      </c>
      <c r="J72" s="39">
        <f>IFERROR('cash flows'!L9,0)</f>
        <v>310</v>
      </c>
      <c r="K72" s="39">
        <f>IFERROR('cash flows'!M9,0)</f>
        <v>134</v>
      </c>
    </row>
    <row r="73" spans="1:11" x14ac:dyDescent="0.2">
      <c r="A73" s="26" t="s">
        <v>125</v>
      </c>
      <c r="B73" s="39">
        <f>IFERROR('cash flows'!D10,0)</f>
        <v>0</v>
      </c>
      <c r="C73" s="39">
        <f>IFERROR('cash flows'!E10,0)</f>
        <v>0</v>
      </c>
      <c r="D73" s="39">
        <f>IFERROR('cash flows'!F10,0)</f>
        <v>0</v>
      </c>
      <c r="E73" s="39">
        <f>IFERROR('cash flows'!G10,0)</f>
        <v>0</v>
      </c>
      <c r="F73" s="39">
        <f>IFERROR('cash flows'!H10,0)</f>
        <v>0</v>
      </c>
      <c r="G73" s="39">
        <f>IFERROR('cash flows'!I10,0)</f>
        <v>-40</v>
      </c>
      <c r="H73" s="39">
        <f>IFERROR('cash flows'!J10,0)</f>
        <v>-30</v>
      </c>
      <c r="I73" s="39">
        <f>IFERROR('cash flows'!K10,0)</f>
        <v>-30</v>
      </c>
      <c r="J73" s="39">
        <f>IFERROR('cash flows'!L10,0)</f>
        <v>-21</v>
      </c>
      <c r="K73" s="39">
        <f>IFERROR('cash flows'!M10,0)</f>
        <v>-199</v>
      </c>
    </row>
    <row r="74" spans="1:11" x14ac:dyDescent="0.2">
      <c r="A74" s="26" t="s">
        <v>126</v>
      </c>
      <c r="B74" s="39">
        <f>IFERROR('cash flows'!D12,0)</f>
        <v>293</v>
      </c>
      <c r="C74" s="39">
        <f>IFERROR('cash flows'!E12,0)</f>
        <v>144</v>
      </c>
      <c r="D74" s="39">
        <f>IFERROR('cash flows'!F12,0)</f>
        <v>255</v>
      </c>
      <c r="E74" s="39">
        <f>IFERROR('cash flows'!G12,0)</f>
        <v>227</v>
      </c>
      <c r="F74" s="39">
        <f>IFERROR('cash flows'!H12,0)</f>
        <v>249</v>
      </c>
      <c r="G74" s="39">
        <f>IFERROR('cash flows'!I12,0)</f>
        <v>-179</v>
      </c>
      <c r="H74" s="39">
        <f>IFERROR('cash flows'!J12,0)</f>
        <v>185</v>
      </c>
      <c r="I74" s="39">
        <f>IFERROR('cash flows'!K12,0)</f>
        <v>-19</v>
      </c>
      <c r="J74" s="39">
        <f>IFERROR('cash flows'!L12,0)</f>
        <v>-268</v>
      </c>
      <c r="K74" s="39">
        <f>IFERROR('cash flows'!M12,0)</f>
        <v>191</v>
      </c>
    </row>
    <row r="75" spans="1:11" x14ac:dyDescent="0.2">
      <c r="A75" s="26" t="s">
        <v>127</v>
      </c>
      <c r="B75" s="39">
        <f>IFERROR('cash flows'!D13,0)</f>
        <v>204</v>
      </c>
      <c r="C75" s="39">
        <f>IFERROR('cash flows'!E13,0)</f>
        <v>375</v>
      </c>
      <c r="D75" s="39">
        <f>IFERROR('cash flows'!F13,0)</f>
        <v>413</v>
      </c>
      <c r="E75" s="39">
        <f>IFERROR('cash flows'!G13,0)</f>
        <v>163</v>
      </c>
      <c r="F75" s="39">
        <f>IFERROR('cash flows'!H13,0)</f>
        <v>97</v>
      </c>
      <c r="G75" s="39">
        <f>IFERROR('cash flows'!I13,0)</f>
        <v>-172</v>
      </c>
      <c r="H75" s="39">
        <f>IFERROR('cash flows'!J13,0)</f>
        <v>-30</v>
      </c>
      <c r="I75" s="39">
        <f>IFERROR('cash flows'!K13,0)</f>
        <v>63</v>
      </c>
      <c r="J75" s="39">
        <f>IFERROR('cash flows'!L13,0)</f>
        <v>-249</v>
      </c>
      <c r="K75" s="39">
        <f>IFERROR('cash flows'!M13,0)</f>
        <v>-711</v>
      </c>
    </row>
    <row r="76" spans="1:11" x14ac:dyDescent="0.2">
      <c r="A76" s="26" t="s">
        <v>128</v>
      </c>
      <c r="B76" s="39">
        <f>IFERROR('cash flows'!D14,0)</f>
        <v>-503</v>
      </c>
      <c r="C76" s="39">
        <f>IFERROR('cash flows'!E14,0)</f>
        <v>-604</v>
      </c>
      <c r="D76" s="39">
        <f>IFERROR('cash flows'!F14,0)</f>
        <v>-881</v>
      </c>
      <c r="E76" s="39">
        <f>IFERROR('cash flows'!G14,0)</f>
        <v>-673</v>
      </c>
      <c r="F76" s="39">
        <f>IFERROR('cash flows'!H14,0)</f>
        <v>-703</v>
      </c>
      <c r="G76" s="39">
        <f>IFERROR('cash flows'!I14,0)</f>
        <v>-729</v>
      </c>
      <c r="H76" s="39">
        <f>IFERROR('cash flows'!J14,0)</f>
        <v>-841</v>
      </c>
      <c r="I76" s="39">
        <f>IFERROR('cash flows'!K14,0)</f>
        <v>-1059</v>
      </c>
      <c r="J76" s="39">
        <f>IFERROR('cash flows'!L14,0)</f>
        <v>-1299</v>
      </c>
      <c r="K76" s="39">
        <f>IFERROR('cash flows'!M14,0)</f>
        <v>-1024</v>
      </c>
    </row>
    <row r="77" spans="1:11" x14ac:dyDescent="0.2">
      <c r="A77" s="25" t="s">
        <v>154</v>
      </c>
      <c r="B77" s="56">
        <f t="shared" ref="B77:K77" si="23">SUM(B69:B74)+B76</f>
        <v>1467</v>
      </c>
      <c r="C77" s="56">
        <f t="shared" si="23"/>
        <v>1818</v>
      </c>
      <c r="D77" s="56">
        <f t="shared" si="23"/>
        <v>2053</v>
      </c>
      <c r="E77" s="56">
        <f t="shared" si="23"/>
        <v>2294</v>
      </c>
      <c r="F77" s="56">
        <f t="shared" si="23"/>
        <v>2455</v>
      </c>
      <c r="G77" s="56">
        <f t="shared" si="23"/>
        <v>2234</v>
      </c>
      <c r="H77" s="56">
        <f t="shared" si="23"/>
        <v>2737</v>
      </c>
      <c r="I77" s="56">
        <f t="shared" si="23"/>
        <v>3393</v>
      </c>
      <c r="J77" s="56">
        <f t="shared" si="23"/>
        <v>4174</v>
      </c>
      <c r="K77" s="56">
        <f t="shared" si="23"/>
        <v>2937</v>
      </c>
    </row>
    <row r="78" spans="1:11" x14ac:dyDescent="0.2">
      <c r="A78" s="26"/>
    </row>
    <row r="79" spans="1:11" x14ac:dyDescent="0.2">
      <c r="A79" s="26"/>
    </row>
    <row r="80" spans="1:11" x14ac:dyDescent="0.2">
      <c r="A80" s="28" t="s">
        <v>155</v>
      </c>
    </row>
    <row r="81" spans="1:11" x14ac:dyDescent="0.2">
      <c r="A81" s="35" t="s">
        <v>129</v>
      </c>
      <c r="B81" s="39">
        <f>IFERROR('cash flows'!D16,0)</f>
        <v>-207</v>
      </c>
      <c r="C81" s="39">
        <f>IFERROR('cash flows'!E16,0)</f>
        <v>-199</v>
      </c>
      <c r="D81" s="39">
        <f>IFERROR('cash flows'!F16,0)</f>
        <v>-166</v>
      </c>
      <c r="E81" s="39">
        <f>IFERROR('cash flows'!G16,0)</f>
        <v>-155</v>
      </c>
      <c r="F81" s="39">
        <f>IFERROR('cash flows'!H16,0)</f>
        <v>-478</v>
      </c>
      <c r="G81" s="39">
        <f>IFERROR('cash flows'!I16,0)</f>
        <v>-735</v>
      </c>
      <c r="H81" s="39">
        <f>IFERROR('cash flows'!J16,0)</f>
        <v>-550</v>
      </c>
      <c r="I81" s="39">
        <f>IFERROR('cash flows'!K16,0)</f>
        <v>-1371</v>
      </c>
      <c r="J81" s="39">
        <f>IFERROR('cash flows'!L16,0)</f>
        <v>-1883</v>
      </c>
      <c r="K81" s="39">
        <f>IFERROR('cash flows'!M16,0)</f>
        <v>-2009</v>
      </c>
    </row>
    <row r="82" spans="1:11" x14ac:dyDescent="0.2">
      <c r="A82" s="35" t="s">
        <v>130</v>
      </c>
      <c r="B82" s="39">
        <f>IFERROR('cash flows'!D17,0)</f>
        <v>94</v>
      </c>
      <c r="C82" s="39">
        <f>IFERROR('cash flows'!E17,0)</f>
        <v>3</v>
      </c>
      <c r="D82" s="39">
        <f>IFERROR('cash flows'!F17,0)</f>
        <v>3</v>
      </c>
      <c r="E82" s="39">
        <f>IFERROR('cash flows'!G17,0)</f>
        <v>2</v>
      </c>
      <c r="F82" s="39">
        <f>IFERROR('cash flows'!H17,0)</f>
        <v>4</v>
      </c>
      <c r="G82" s="39">
        <f>IFERROR('cash flows'!I17,0)</f>
        <v>4</v>
      </c>
      <c r="H82" s="39">
        <f>IFERROR('cash flows'!J17,0)</f>
        <v>9</v>
      </c>
      <c r="I82" s="39">
        <f>IFERROR('cash flows'!K17,0)</f>
        <v>7</v>
      </c>
      <c r="J82" s="39">
        <f>IFERROR('cash flows'!L17,0)</f>
        <v>4</v>
      </c>
      <c r="K82" s="39">
        <f>IFERROR('cash flows'!M17,0)</f>
        <v>4</v>
      </c>
    </row>
    <row r="83" spans="1:11" x14ac:dyDescent="0.2">
      <c r="A83" s="35" t="s">
        <v>131</v>
      </c>
      <c r="B83" s="39">
        <f>IFERROR('cash flows'!D18,0)</f>
        <v>-153</v>
      </c>
      <c r="C83" s="39">
        <f>IFERROR('cash flows'!E18,0)</f>
        <v>-112</v>
      </c>
      <c r="D83" s="39">
        <f>IFERROR('cash flows'!F18,0)</f>
        <v>-160</v>
      </c>
      <c r="E83" s="39">
        <f>IFERROR('cash flows'!G18,0)</f>
        <v>-16</v>
      </c>
      <c r="F83" s="39">
        <f>IFERROR('cash flows'!H18,0)</f>
        <v>0</v>
      </c>
      <c r="G83" s="39">
        <f>IFERROR('cash flows'!I18,0)</f>
        <v>0</v>
      </c>
      <c r="H83" s="39">
        <f>IFERROR('cash flows'!J18,0)</f>
        <v>0</v>
      </c>
      <c r="I83" s="39">
        <f>IFERROR('cash flows'!K18,0)</f>
        <v>0</v>
      </c>
      <c r="J83" s="39">
        <f>IFERROR('cash flows'!L18,0)</f>
        <v>0</v>
      </c>
      <c r="K83" s="39">
        <f>IFERROR('cash flows'!M18,0)</f>
        <v>0</v>
      </c>
    </row>
    <row r="84" spans="1:11" x14ac:dyDescent="0.2">
      <c r="A84" s="35" t="s">
        <v>132</v>
      </c>
      <c r="B84" s="39">
        <f>IFERROR('cash flows'!D19,0)</f>
        <v>0</v>
      </c>
      <c r="C84" s="39">
        <f>IFERROR('cash flows'!E19,0)</f>
        <v>0</v>
      </c>
      <c r="D84" s="39">
        <f>IFERROR('cash flows'!F19,0)</f>
        <v>0</v>
      </c>
      <c r="E84" s="39">
        <f>IFERROR('cash flows'!G19,0)</f>
        <v>0</v>
      </c>
      <c r="F84" s="39">
        <f>IFERROR('cash flows'!H19,0)</f>
        <v>0</v>
      </c>
      <c r="G84" s="39">
        <f>IFERROR('cash flows'!I19,0)</f>
        <v>0</v>
      </c>
      <c r="H84" s="39">
        <f>IFERROR('cash flows'!J19,0)</f>
        <v>25</v>
      </c>
      <c r="I84" s="39">
        <f>IFERROR('cash flows'!K19,0)</f>
        <v>312</v>
      </c>
      <c r="J84" s="39">
        <f>IFERROR('cash flows'!L19,0)</f>
        <v>284</v>
      </c>
      <c r="K84" s="39">
        <f>IFERROR('cash flows'!M19,0)</f>
        <v>424</v>
      </c>
    </row>
    <row r="85" spans="1:11" x14ac:dyDescent="0.2">
      <c r="A85" s="35" t="s">
        <v>133</v>
      </c>
      <c r="B85" s="39">
        <f>IFERROR('cash flows'!D20,0)</f>
        <v>126</v>
      </c>
      <c r="C85" s="39">
        <f>IFERROR('cash flows'!E20,0)</f>
        <v>154</v>
      </c>
      <c r="D85" s="39">
        <f>IFERROR('cash flows'!F20,0)</f>
        <v>237</v>
      </c>
      <c r="E85" s="39">
        <f>IFERROR('cash flows'!G20,0)</f>
        <v>238</v>
      </c>
      <c r="F85" s="39">
        <f>IFERROR('cash flows'!H20,0)</f>
        <v>148</v>
      </c>
      <c r="G85" s="39">
        <f>IFERROR('cash flows'!I20,0)</f>
        <v>125</v>
      </c>
      <c r="H85" s="39">
        <f>IFERROR('cash flows'!J20,0)</f>
        <v>103</v>
      </c>
      <c r="I85" s="39">
        <f>IFERROR('cash flows'!K20,0)</f>
        <v>0</v>
      </c>
      <c r="J85" s="39">
        <f>IFERROR('cash flows'!L20,0)</f>
        <v>167</v>
      </c>
      <c r="K85" s="39">
        <f>IFERROR('cash flows'!M20,0)</f>
        <v>76</v>
      </c>
    </row>
    <row r="86" spans="1:11" x14ac:dyDescent="0.2">
      <c r="A86" s="35" t="s">
        <v>134</v>
      </c>
      <c r="B86" s="39">
        <f>IFERROR('cash flows'!D21,0)</f>
        <v>13</v>
      </c>
      <c r="C86" s="39">
        <f>IFERROR('cash flows'!E21,0)</f>
        <v>16</v>
      </c>
      <c r="D86" s="39">
        <f>IFERROR('cash flows'!F21,0)</f>
        <v>19</v>
      </c>
      <c r="E86" s="39">
        <f>IFERROR('cash flows'!G21,0)</f>
        <v>13</v>
      </c>
      <c r="F86" s="39">
        <f>IFERROR('cash flows'!H21,0)</f>
        <v>2</v>
      </c>
      <c r="G86" s="39">
        <f>IFERROR('cash flows'!I21,0)</f>
        <v>0</v>
      </c>
      <c r="H86" s="39">
        <f>IFERROR('cash flows'!J21,0)</f>
        <v>0</v>
      </c>
      <c r="I86" s="39">
        <f>IFERROR('cash flows'!K21,0)</f>
        <v>0</v>
      </c>
      <c r="J86" s="39">
        <f>IFERROR('cash flows'!L21,0)</f>
        <v>0</v>
      </c>
      <c r="K86" s="39">
        <f>IFERROR('cash flows'!M21,0)</f>
        <v>0</v>
      </c>
    </row>
    <row r="87" spans="1:11" x14ac:dyDescent="0.2">
      <c r="A87" s="35" t="s">
        <v>135</v>
      </c>
      <c r="B87" s="39">
        <f>IFERROR('cash flows'!D22,0)</f>
        <v>0</v>
      </c>
      <c r="C87" s="39">
        <f>IFERROR('cash flows'!E22,0)</f>
        <v>0</v>
      </c>
      <c r="D87" s="39">
        <f>IFERROR('cash flows'!F22,0)</f>
        <v>0</v>
      </c>
      <c r="E87" s="39">
        <f>IFERROR('cash flows'!G22,0)</f>
        <v>0</v>
      </c>
      <c r="F87" s="39">
        <f>IFERROR('cash flows'!H22,0)</f>
        <v>0</v>
      </c>
      <c r="G87" s="39">
        <f>IFERROR('cash flows'!I22,0)</f>
        <v>0</v>
      </c>
      <c r="H87" s="39">
        <f>IFERROR('cash flows'!J22,0)</f>
        <v>0</v>
      </c>
      <c r="I87" s="39">
        <f>IFERROR('cash flows'!K22,0)</f>
        <v>0</v>
      </c>
      <c r="J87" s="39">
        <f>IFERROR('cash flows'!L22,0)</f>
        <v>0</v>
      </c>
      <c r="K87" s="39">
        <f>IFERROR('cash flows'!M22,0)</f>
        <v>-706</v>
      </c>
    </row>
    <row r="88" spans="1:11" x14ac:dyDescent="0.2">
      <c r="A88" s="35" t="s">
        <v>136</v>
      </c>
      <c r="B88" s="39">
        <f>IFERROR('cash flows'!D23,0)</f>
        <v>1</v>
      </c>
      <c r="C88" s="39">
        <f>IFERROR('cash flows'!E23,0)</f>
        <v>7</v>
      </c>
      <c r="D88" s="39">
        <f>IFERROR('cash flows'!F23,0)</f>
        <v>15</v>
      </c>
      <c r="E88" s="39">
        <f>IFERROR('cash flows'!G23,0)</f>
        <v>0</v>
      </c>
      <c r="F88" s="39">
        <f>IFERROR('cash flows'!H23,0)</f>
        <v>3</v>
      </c>
      <c r="G88" s="39">
        <f>IFERROR('cash flows'!I23,0)</f>
        <v>-1314</v>
      </c>
      <c r="H88" s="39">
        <f>IFERROR('cash flows'!J23,0)</f>
        <v>20</v>
      </c>
      <c r="I88" s="39">
        <f>IFERROR('cash flows'!K23,0)</f>
        <v>126</v>
      </c>
      <c r="J88" s="39">
        <f>IFERROR('cash flows'!L23,0)</f>
        <v>190</v>
      </c>
      <c r="K88" s="39">
        <f>IFERROR('cash flows'!M23,0)</f>
        <v>400</v>
      </c>
    </row>
    <row r="89" spans="1:11" x14ac:dyDescent="0.2">
      <c r="A89" s="25" t="s">
        <v>156</v>
      </c>
      <c r="B89" s="56">
        <f t="shared" ref="B89:K89" si="24">SUM(B81:B88)</f>
        <v>-126</v>
      </c>
      <c r="C89" s="56">
        <f t="shared" si="24"/>
        <v>-131</v>
      </c>
      <c r="D89" s="56">
        <f t="shared" si="24"/>
        <v>-52</v>
      </c>
      <c r="E89" s="56">
        <f t="shared" si="24"/>
        <v>82</v>
      </c>
      <c r="F89" s="56">
        <f t="shared" si="24"/>
        <v>-321</v>
      </c>
      <c r="G89" s="56">
        <f t="shared" si="24"/>
        <v>-1920</v>
      </c>
      <c r="H89" s="56">
        <f t="shared" si="24"/>
        <v>-393</v>
      </c>
      <c r="I89" s="56">
        <f t="shared" si="24"/>
        <v>-926</v>
      </c>
      <c r="J89" s="56">
        <f t="shared" si="24"/>
        <v>-1238</v>
      </c>
      <c r="K89" s="56">
        <f t="shared" si="24"/>
        <v>-1811</v>
      </c>
    </row>
    <row r="90" spans="1:11" x14ac:dyDescent="0.2">
      <c r="B90" s="39"/>
      <c r="C90" s="39"/>
      <c r="D90" s="39"/>
      <c r="E90" s="39"/>
      <c r="F90" s="39"/>
      <c r="G90" s="39"/>
      <c r="H90" s="39"/>
      <c r="I90" s="39"/>
      <c r="J90" s="39"/>
      <c r="K90" s="39"/>
    </row>
    <row r="91" spans="1:11" x14ac:dyDescent="0.2">
      <c r="A91" s="28" t="s">
        <v>157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</row>
    <row r="92" spans="1:11" x14ac:dyDescent="0.2">
      <c r="A92" s="35" t="s">
        <v>137</v>
      </c>
      <c r="B92" s="39">
        <f>IFERROR('cash flows'!D25,0)</f>
        <v>0</v>
      </c>
      <c r="C92" s="39">
        <f>IFERROR('cash flows'!E25,0)</f>
        <v>0</v>
      </c>
      <c r="D92" s="39">
        <f>IFERROR('cash flows'!F25,0)</f>
        <v>0</v>
      </c>
      <c r="E92" s="39">
        <f>IFERROR('cash flows'!G25,0)</f>
        <v>0</v>
      </c>
      <c r="F92" s="39">
        <f>IFERROR('cash flows'!H25,0)</f>
        <v>0</v>
      </c>
      <c r="G92" s="39">
        <f>IFERROR('cash flows'!I25,0)</f>
        <v>24</v>
      </c>
      <c r="H92" s="39">
        <f>IFERROR('cash flows'!J25,0)</f>
        <v>0</v>
      </c>
      <c r="I92" s="39">
        <f>IFERROR('cash flows'!K25,0)</f>
        <v>0</v>
      </c>
      <c r="J92" s="39">
        <f>IFERROR('cash flows'!L25,0)</f>
        <v>0</v>
      </c>
      <c r="K92" s="39">
        <f>IFERROR('cash flows'!M25,0)</f>
        <v>726</v>
      </c>
    </row>
    <row r="93" spans="1:11" x14ac:dyDescent="0.2">
      <c r="A93" s="52" t="s">
        <v>191</v>
      </c>
      <c r="B93" s="39">
        <f>IFERROR('cash flows'!D27,0)</f>
        <v>0</v>
      </c>
      <c r="C93" s="39">
        <f>IFERROR('cash flows'!E27,0)</f>
        <v>0</v>
      </c>
      <c r="D93" s="39">
        <f>IFERROR('cash flows'!F27,0)</f>
        <v>0</v>
      </c>
      <c r="E93" s="39">
        <f>IFERROR('cash flows'!G27,0)</f>
        <v>0</v>
      </c>
      <c r="F93" s="39">
        <f>IFERROR('cash flows'!H27,0)</f>
        <v>0</v>
      </c>
      <c r="G93" s="39">
        <f>IFERROR('cash flows'!I27,0)</f>
        <v>0</v>
      </c>
      <c r="H93" s="39">
        <f>IFERROR('cash flows'!J27,0)</f>
        <v>0</v>
      </c>
      <c r="I93" s="39">
        <f>IFERROR('cash flows'!K27,0)</f>
        <v>0</v>
      </c>
      <c r="J93" s="39">
        <f>IFERROR('cash flows'!L27,0)</f>
        <v>0</v>
      </c>
      <c r="K93" s="39">
        <f>IFERROR('cash flows'!M27,0)</f>
        <v>0</v>
      </c>
    </row>
    <row r="94" spans="1:11" x14ac:dyDescent="0.2">
      <c r="A94" s="35" t="s">
        <v>139</v>
      </c>
      <c r="B94" s="39">
        <f>IFERROR('cash flows'!D26,0)</f>
        <v>0</v>
      </c>
      <c r="C94" s="39">
        <f>IFERROR('cash flows'!E26,0)</f>
        <v>0</v>
      </c>
      <c r="D94" s="39">
        <f>IFERROR('cash flows'!F26,0)</f>
        <v>0</v>
      </c>
      <c r="E94" s="39">
        <f>IFERROR('cash flows'!G26,0)</f>
        <v>0</v>
      </c>
      <c r="F94" s="39">
        <f>IFERROR('cash flows'!H26,0)</f>
        <v>0</v>
      </c>
      <c r="G94" s="39">
        <f>IFERROR('cash flows'!I26,0)</f>
        <v>-24</v>
      </c>
      <c r="H94" s="39">
        <f>IFERROR('cash flows'!J26,0)</f>
        <v>0</v>
      </c>
      <c r="I94" s="39">
        <f>IFERROR('cash flows'!K26,0)</f>
        <v>0</v>
      </c>
      <c r="J94" s="39">
        <f>IFERROR('cash flows'!L26,0)</f>
        <v>0</v>
      </c>
      <c r="K94" s="39">
        <f>IFERROR('cash flows'!M26,0)</f>
        <v>0</v>
      </c>
    </row>
    <row r="95" spans="1:11" x14ac:dyDescent="0.2">
      <c r="A95" s="35" t="s">
        <v>140</v>
      </c>
      <c r="B95" s="39">
        <f>IFERROR('cash flows'!D28,0)</f>
        <v>-4</v>
      </c>
      <c r="C95" s="39">
        <f>IFERROR('cash flows'!E28,0)</f>
        <v>-1</v>
      </c>
      <c r="D95" s="39">
        <f>IFERROR('cash flows'!F28,0)</f>
        <v>-4</v>
      </c>
      <c r="E95" s="39">
        <f>IFERROR('cash flows'!G28,0)</f>
        <v>-63</v>
      </c>
      <c r="F95" s="39">
        <f>IFERROR('cash flows'!H28,0)</f>
        <v>-69</v>
      </c>
      <c r="G95" s="39">
        <f>IFERROR('cash flows'!I28,0)</f>
        <v>-9</v>
      </c>
      <c r="H95" s="39">
        <f>IFERROR('cash flows'!J28,0)</f>
        <v>-18</v>
      </c>
      <c r="I95" s="39">
        <f>IFERROR('cash flows'!K28,0)</f>
        <v>-20</v>
      </c>
      <c r="J95" s="39">
        <f>IFERROR('cash flows'!L28,0)</f>
        <v>-26</v>
      </c>
      <c r="K95" s="39">
        <f>IFERROR('cash flows'!M28,0)</f>
        <v>-34</v>
      </c>
    </row>
    <row r="96" spans="1:11" x14ac:dyDescent="0.2">
      <c r="A96" s="35" t="s">
        <v>141</v>
      </c>
      <c r="B96" s="39">
        <f>IFERROR('cash flows'!D29,0)</f>
        <v>-564</v>
      </c>
      <c r="C96" s="39">
        <f>IFERROR('cash flows'!E29,0)</f>
        <v>-829</v>
      </c>
      <c r="D96" s="39">
        <f>IFERROR('cash flows'!F29,0)</f>
        <v>-1090</v>
      </c>
      <c r="E96" s="39">
        <f>IFERROR('cash flows'!G29,0)</f>
        <v>-2950</v>
      </c>
      <c r="F96" s="39">
        <f>IFERROR('cash flows'!H29,0)</f>
        <v>-1890</v>
      </c>
      <c r="G96" s="39">
        <f>IFERROR('cash flows'!I29,0)</f>
        <v>-1928</v>
      </c>
      <c r="H96" s="39">
        <f>IFERROR('cash flows'!J29,0)</f>
        <v>-2025</v>
      </c>
      <c r="I96" s="39">
        <f>IFERROR('cash flows'!K29,0)</f>
        <v>-2333</v>
      </c>
      <c r="J96" s="39">
        <f>IFERROR('cash flows'!L29,0)</f>
        <v>-3008</v>
      </c>
      <c r="K96" s="39">
        <f>IFERROR('cash flows'!M29,0)</f>
        <v>-2459</v>
      </c>
    </row>
    <row r="97" spans="1:11" x14ac:dyDescent="0.2">
      <c r="A97" s="35" t="s">
        <v>142</v>
      </c>
      <c r="B97" s="39">
        <f>IFERROR('cash flows'!D30,0)</f>
        <v>0</v>
      </c>
      <c r="C97" s="39">
        <f>IFERROR('cash flows'!E30,0)</f>
        <v>0</v>
      </c>
      <c r="D97" s="39">
        <f>IFERROR('cash flows'!F30,0)</f>
        <v>0</v>
      </c>
      <c r="E97" s="39">
        <f>IFERROR('cash flows'!G30,0)</f>
        <v>0</v>
      </c>
      <c r="F97" s="39">
        <f>IFERROR('cash flows'!H30,0)</f>
        <v>0</v>
      </c>
      <c r="G97" s="39">
        <f>IFERROR('cash flows'!I30,0)</f>
        <v>-79</v>
      </c>
      <c r="H97" s="39">
        <f>IFERROR('cash flows'!J30,0)</f>
        <v>-73</v>
      </c>
      <c r="I97" s="39">
        <f>IFERROR('cash flows'!K30,0)</f>
        <v>-166</v>
      </c>
      <c r="J97" s="39">
        <f>IFERROR('cash flows'!L30,0)</f>
        <v>-100</v>
      </c>
      <c r="K97" s="39">
        <f>IFERROR('cash flows'!M30,0)</f>
        <v>-76</v>
      </c>
    </row>
    <row r="98" spans="1:11" x14ac:dyDescent="0.2">
      <c r="A98" s="35" t="s">
        <v>143</v>
      </c>
      <c r="B98" s="39">
        <f>IFERROR('cash flows'!D31,0)</f>
        <v>-98</v>
      </c>
      <c r="C98" s="39">
        <f>IFERROR('cash flows'!E31,0)</f>
        <v>-167</v>
      </c>
      <c r="D98" s="39">
        <f>IFERROR('cash flows'!F31,0)</f>
        <v>-224</v>
      </c>
      <c r="E98" s="39">
        <f>IFERROR('cash flows'!G31,0)</f>
        <v>-588</v>
      </c>
      <c r="F98" s="39">
        <f>IFERROR('cash flows'!H31,0)</f>
        <v>3</v>
      </c>
      <c r="G98" s="39">
        <f>IFERROR('cash flows'!I31,0)</f>
        <v>-3</v>
      </c>
      <c r="H98" s="39">
        <f>IFERROR('cash flows'!J31,0)</f>
        <v>-7</v>
      </c>
      <c r="I98" s="39">
        <f>IFERROR('cash flows'!K31,0)</f>
        <v>83</v>
      </c>
      <c r="J98" s="39">
        <f>IFERROR('cash flows'!L31,0)</f>
        <v>-1</v>
      </c>
      <c r="K98" s="39">
        <f>IFERROR('cash flows'!M31,0)</f>
        <v>-5</v>
      </c>
    </row>
    <row r="99" spans="1:11" x14ac:dyDescent="0.2">
      <c r="A99" s="25" t="s">
        <v>144</v>
      </c>
      <c r="B99" s="56">
        <f t="shared" ref="B99:K99" si="25">SUM(B92:B98)</f>
        <v>-666</v>
      </c>
      <c r="C99" s="56">
        <f t="shared" si="25"/>
        <v>-997</v>
      </c>
      <c r="D99" s="56">
        <f t="shared" si="25"/>
        <v>-1318</v>
      </c>
      <c r="E99" s="56">
        <f t="shared" si="25"/>
        <v>-3601</v>
      </c>
      <c r="F99" s="56">
        <f t="shared" si="25"/>
        <v>-1956</v>
      </c>
      <c r="G99" s="56">
        <f t="shared" si="25"/>
        <v>-2019</v>
      </c>
      <c r="H99" s="56">
        <f t="shared" si="25"/>
        <v>-2123</v>
      </c>
      <c r="I99" s="56">
        <f t="shared" si="25"/>
        <v>-2436</v>
      </c>
      <c r="J99" s="56">
        <f t="shared" si="25"/>
        <v>-3135</v>
      </c>
      <c r="K99" s="56">
        <f t="shared" si="25"/>
        <v>-1848</v>
      </c>
    </row>
    <row r="100" spans="1:11" x14ac:dyDescent="0.2">
      <c r="A100" s="26"/>
    </row>
    <row r="101" spans="1:11" x14ac:dyDescent="0.2">
      <c r="A101" s="36" t="s">
        <v>158</v>
      </c>
      <c r="B101" s="39">
        <f t="shared" ref="B101:K101" si="26">SUM(B77,B89,B99)</f>
        <v>675</v>
      </c>
      <c r="C101" s="39">
        <f t="shared" si="26"/>
        <v>690</v>
      </c>
      <c r="D101" s="39">
        <f t="shared" si="26"/>
        <v>683</v>
      </c>
      <c r="E101" s="39">
        <f t="shared" si="26"/>
        <v>-1225</v>
      </c>
      <c r="F101" s="39">
        <f t="shared" si="26"/>
        <v>178</v>
      </c>
      <c r="G101" s="39">
        <f t="shared" si="26"/>
        <v>-1705</v>
      </c>
      <c r="H101" s="39">
        <f t="shared" si="26"/>
        <v>221</v>
      </c>
      <c r="I101" s="39">
        <f t="shared" si="26"/>
        <v>31</v>
      </c>
      <c r="J101" s="39">
        <f t="shared" si="26"/>
        <v>-199</v>
      </c>
      <c r="K101" s="39">
        <f t="shared" si="26"/>
        <v>-722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416A-ED32-1546-9A27-DFAE1AF7C617}">
  <dimension ref="A1:Q44"/>
  <sheetViews>
    <sheetView showGridLines="0" zoomScale="81" workbookViewId="0">
      <selection activeCell="P15" sqref="P15:W52"/>
    </sheetView>
  </sheetViews>
  <sheetFormatPr baseColWidth="10" defaultColWidth="10.83203125" defaultRowHeight="15" x14ac:dyDescent="0.2"/>
  <cols>
    <col min="1" max="1" width="48.1640625" customWidth="1"/>
    <col min="2" max="11" width="11.33203125" bestFit="1" customWidth="1"/>
    <col min="12" max="12" width="24.5" customWidth="1"/>
    <col min="13" max="13" width="16.33203125" customWidth="1"/>
    <col min="14" max="14" width="11.83203125" customWidth="1"/>
    <col min="16" max="16" width="17.5" customWidth="1"/>
    <col min="17" max="17" width="23.33203125" customWidth="1"/>
    <col min="18" max="18" width="13.6640625" customWidth="1"/>
  </cols>
  <sheetData>
    <row r="1" spans="1:14" x14ac:dyDescent="0.2">
      <c r="A1" s="29" t="s">
        <v>159</v>
      </c>
    </row>
    <row r="2" spans="1:14" x14ac:dyDescent="0.2">
      <c r="A2" s="30" t="s">
        <v>93</v>
      </c>
      <c r="B2" s="12">
        <v>42705</v>
      </c>
      <c r="C2" s="12">
        <f>B2+365</f>
        <v>43070</v>
      </c>
      <c r="D2" s="12">
        <f t="shared" ref="D2:E2" si="0">C2+365</f>
        <v>43435</v>
      </c>
      <c r="E2" s="12">
        <f t="shared" si="0"/>
        <v>43800</v>
      </c>
      <c r="F2" s="12">
        <f>E2+366</f>
        <v>44166</v>
      </c>
      <c r="G2" s="12">
        <f t="shared" ref="G2:K2" si="1">F2+366</f>
        <v>44532</v>
      </c>
      <c r="H2" s="12">
        <f t="shared" si="1"/>
        <v>44898</v>
      </c>
      <c r="I2" s="12">
        <f t="shared" si="1"/>
        <v>45264</v>
      </c>
      <c r="J2" s="12">
        <v>45352</v>
      </c>
      <c r="K2" s="12">
        <f t="shared" si="1"/>
        <v>45718</v>
      </c>
      <c r="M2" s="12" t="s">
        <v>194</v>
      </c>
      <c r="N2" s="12" t="s">
        <v>195</v>
      </c>
    </row>
    <row r="3" spans="1:14" x14ac:dyDescent="0.2">
      <c r="A3" s="26" t="s">
        <v>22</v>
      </c>
      <c r="B3">
        <f>IFERROR('Historical FS'!B4,0)</f>
        <v>9141.34</v>
      </c>
      <c r="C3">
        <f>IFERROR('Historical FS'!C4,0)</f>
        <v>10009.6</v>
      </c>
      <c r="D3">
        <f>IFERROR('Historical FS'!D4,0)</f>
        <v>11292.27</v>
      </c>
      <c r="E3">
        <f>IFERROR('Historical FS'!E4,0)</f>
        <v>12368.9</v>
      </c>
      <c r="F3">
        <f>IFERROR('Historical FS'!F4,0)</f>
        <v>13350.03</v>
      </c>
      <c r="G3">
        <f>IFERROR('Historical FS'!G4,0)</f>
        <v>14740.59</v>
      </c>
      <c r="H3">
        <f>IFERROR('Historical FS'!H4,0)</f>
        <v>16896.96</v>
      </c>
      <c r="I3">
        <f>IFERROR('Historical FS'!I4,0)</f>
        <v>19126.3</v>
      </c>
      <c r="J3">
        <f>IFERROR('Historical FS'!J4,0)</f>
        <v>24393.89</v>
      </c>
      <c r="K3">
        <f>IFERROR('Historical FS'!K4,0)</f>
        <v>20201.560000000001</v>
      </c>
    </row>
    <row r="4" spans="1:14" x14ac:dyDescent="0.2">
      <c r="A4" s="26" t="s">
        <v>22</v>
      </c>
      <c r="C4" s="5">
        <f t="shared" ref="C4:K4" si="2">C3/B3</f>
        <v>1.0949816985255991</v>
      </c>
      <c r="D4" s="5">
        <f t="shared" si="2"/>
        <v>1.1281439817774936</v>
      </c>
      <c r="E4" s="5">
        <f t="shared" si="2"/>
        <v>1.0953422119733234</v>
      </c>
      <c r="F4" s="5">
        <f t="shared" si="2"/>
        <v>1.0793223326245664</v>
      </c>
      <c r="G4" s="5">
        <f t="shared" si="2"/>
        <v>1.1041615636818793</v>
      </c>
      <c r="H4" s="5">
        <f t="shared" si="2"/>
        <v>1.1462879029943849</v>
      </c>
      <c r="I4" s="5">
        <f t="shared" si="2"/>
        <v>1.1319373425752324</v>
      </c>
      <c r="J4" s="5">
        <f t="shared" si="2"/>
        <v>1.2754108217480642</v>
      </c>
      <c r="K4" s="5">
        <f t="shared" si="2"/>
        <v>0.8281401613272833</v>
      </c>
      <c r="M4" s="5">
        <f>IFERROR(AVERAGE(C4:K4),0)</f>
        <v>1.0981920019142029</v>
      </c>
      <c r="N4" s="5">
        <f>IFERROR(MEDIAN(C4:K4),0)</f>
        <v>1.1041615636818793</v>
      </c>
    </row>
    <row r="5" spans="1:14" x14ac:dyDescent="0.2">
      <c r="A5" s="26" t="s">
        <v>145</v>
      </c>
      <c r="C5" s="5">
        <f>IFERROR('Historical FS'!C16/'Historical FS'!B16-1,0)</f>
        <v>0.13335747956580124</v>
      </c>
      <c r="D5" s="5">
        <f>IFERROR('Historical FS'!D16/'Historical FS'!C16-1,0)</f>
        <v>0.24856310188740371</v>
      </c>
      <c r="E5" s="5">
        <f>IFERROR('Historical FS'!E16/'Historical FS'!D16-1,0)</f>
        <v>0.11775065421274755</v>
      </c>
      <c r="F5" s="5">
        <f>IFERROR('Historical FS'!F16/'Historical FS'!E16-1,0)</f>
        <v>9.4200719099895247E-2</v>
      </c>
      <c r="G5" s="5">
        <f>IFERROR('Historical FS'!G16/'Historical FS'!F16-1,0)</f>
        <v>0.11272840855848743</v>
      </c>
      <c r="H5" s="5">
        <f>IFERROR('Historical FS'!H16/'Historical FS'!G16-1,0)</f>
        <v>4.0391309229732553E-2</v>
      </c>
      <c r="I5" s="5">
        <f>IFERROR('Historical FS'!I16/'Historical FS'!H16-1,0)</f>
        <v>0.20632492330605601</v>
      </c>
      <c r="J5" s="5">
        <f>IFERROR('Historical FS'!J16/'Historical FS'!I16-1,0)</f>
        <v>0.3068962355093614</v>
      </c>
      <c r="K5" s="5">
        <f>IFERROR('Historical FS'!K16/'Historical FS'!J16-1,0)</f>
        <v>-0.18342768931666642</v>
      </c>
      <c r="M5" s="5">
        <f t="shared" ref="M5:M8" si="3">IFERROR(AVERAGE(C5:K5),0)</f>
        <v>0.11964279356142431</v>
      </c>
      <c r="N5" s="5">
        <f t="shared" ref="N5:N8" si="4">IFERROR(MEDIAN(C5:K5),0)</f>
        <v>0.11775065421274755</v>
      </c>
    </row>
    <row r="6" spans="1:14" x14ac:dyDescent="0.2">
      <c r="A6" s="26" t="s">
        <v>146</v>
      </c>
      <c r="C6" s="5">
        <f>IFERROR('Historical FS'!C25/'Historical FS'!B25-1,0)</f>
        <v>0.19019270341275263</v>
      </c>
      <c r="D6" s="5">
        <f>IFERROR('Historical FS'!D25/'Historical FS'!C25-1,0)</f>
        <v>0.3205839177948131</v>
      </c>
      <c r="E6" s="5">
        <f>IFERROR('Historical FS'!E25/'Historical FS'!D25-1,0)</f>
        <v>0.10067724737026285</v>
      </c>
      <c r="F6" s="5">
        <f>IFERROR('Historical FS'!F25/'Historical FS'!E25-1,0)</f>
        <v>5.2104178433433512E-2</v>
      </c>
      <c r="G6" s="5">
        <f>IFERROR('Historical FS'!G25/'Historical FS'!F25-1,0)</f>
        <v>1.5831256510439928E-2</v>
      </c>
      <c r="H6" s="5">
        <f>IFERROR('Historical FS'!H25/'Historical FS'!G25-1,0)</f>
        <v>0.13951884983131024</v>
      </c>
      <c r="I6" s="5">
        <f>IFERROR('Historical FS'!I25/'Historical FS'!H25-1,0)</f>
        <v>0.24027248408308433</v>
      </c>
      <c r="J6" s="5">
        <f>IFERROR('Historical FS'!J25/'Historical FS'!I25-1,0)</f>
        <v>0.30968058262284281</v>
      </c>
      <c r="K6" s="5">
        <f>IFERROR('Historical FS'!K25/'Historical FS'!J25-1,0)</f>
        <v>-0.1590888034684157</v>
      </c>
      <c r="M6" s="5">
        <f t="shared" si="3"/>
        <v>0.13441915739894708</v>
      </c>
      <c r="N6" s="5">
        <f t="shared" si="4"/>
        <v>0.13951884983131024</v>
      </c>
    </row>
    <row r="7" spans="1:14" x14ac:dyDescent="0.2">
      <c r="A7" s="26" t="s">
        <v>147</v>
      </c>
      <c r="C7" s="5">
        <f>IFERROR('Historical FS'!C31/'Historical FS'!B31-1,0)</f>
        <v>0.22352600463369798</v>
      </c>
      <c r="D7" s="5">
        <f>IFERROR('Historical FS'!D31/'Historical FS'!C31-1,0)</f>
        <v>0.31157616369705909</v>
      </c>
      <c r="E7" s="5">
        <f>IFERROR('Historical FS'!E31/'Historical FS'!D31-1,0)</f>
        <v>0.22496935149633157</v>
      </c>
      <c r="F7" s="5">
        <f>IFERROR('Historical FS'!F31/'Historical FS'!E31-1,0)</f>
        <v>5.7908800877852551E-2</v>
      </c>
      <c r="G7" s="5">
        <f>IFERROR('Historical FS'!G31/'Historical FS'!F31-1,0)</f>
        <v>1.7277891693838754E-2</v>
      </c>
      <c r="H7" s="5">
        <f>IFERROR('Historical FS'!H31/'Historical FS'!G31-1,0)</f>
        <v>0.12845011116828142</v>
      </c>
      <c r="I7" s="5">
        <f>IFERROR('Historical FS'!I31/'Historical FS'!H31-1,0)</f>
        <v>0.25440071616217419</v>
      </c>
      <c r="J7" s="5">
        <f>IFERROR('Historical FS'!J31/'Historical FS'!I31-1,0)</f>
        <v>0.31152811079578613</v>
      </c>
      <c r="K7" s="5">
        <f>IFERROR('Historical FS'!K31/'Historical FS'!J31-1,0)</f>
        <v>-0.15722480446700093</v>
      </c>
      <c r="M7" s="5">
        <f t="shared" si="3"/>
        <v>0.15249026067311341</v>
      </c>
      <c r="N7" s="5">
        <f t="shared" si="4"/>
        <v>0.22352600463369798</v>
      </c>
    </row>
    <row r="8" spans="1:14" x14ac:dyDescent="0.2">
      <c r="A8" s="26" t="s">
        <v>160</v>
      </c>
      <c r="C8" s="5">
        <f>IFERROR('Historical FS'!C38/'Historical FS'!B38-1,0)</f>
        <v>0.36506708371059338</v>
      </c>
      <c r="D8" s="5">
        <f>IFERROR('Historical FS'!D38/'Historical FS'!C38-1,0)</f>
        <v>0.33721252758649767</v>
      </c>
      <c r="E8" s="5">
        <f>IFERROR('Historical FS'!E38/'Historical FS'!D38-1,0)</f>
        <v>1.9739094360722569</v>
      </c>
      <c r="F8" s="5">
        <f>IFERROR('Historical FS'!F38/'Historical FS'!E38-1,0)</f>
        <v>-0.41520396899525702</v>
      </c>
      <c r="G8" s="5">
        <f>IFERROR('Historical FS'!G38/'Historical FS'!F38-1,0)</f>
        <v>0</v>
      </c>
      <c r="H8" s="5">
        <f>IFERROR('Historical FS'!H38/'Historical FS'!G38-1,0)</f>
        <v>9.9999999999999867E-2</v>
      </c>
      <c r="I8" s="5">
        <f>IFERROR('Historical FS'!I38/'Historical FS'!H38-1,0)</f>
        <v>-0.20908996624615794</v>
      </c>
      <c r="J8" s="5">
        <f>IFERROR('Historical FS'!J38/'Historical FS'!I38-1,0)</f>
        <v>0.85028221538545989</v>
      </c>
      <c r="K8" s="5">
        <f>IFERROR('Historical FS'!K38/'Historical FS'!J38-1,0)</f>
        <v>-0.16148960292715597</v>
      </c>
      <c r="M8" s="5">
        <f t="shared" si="3"/>
        <v>0.31563196939847082</v>
      </c>
      <c r="N8" s="5">
        <f t="shared" si="4"/>
        <v>9.9999999999999867E-2</v>
      </c>
    </row>
    <row r="9" spans="1:14" x14ac:dyDescent="0.2">
      <c r="A9" s="37"/>
    </row>
    <row r="10" spans="1:14" x14ac:dyDescent="0.2">
      <c r="A10" s="26" t="s">
        <v>161</v>
      </c>
      <c r="B10" s="5">
        <f>IFERROR('Historical FS'!B10/'Historical FS'!B4,0)</f>
        <v>0.43062942632043</v>
      </c>
      <c r="C10" s="5">
        <f>IFERROR('Historical FS'!C10/'Historical FS'!C4,0)</f>
        <v>0.41844229539641958</v>
      </c>
      <c r="D10" s="5">
        <f>IFERROR('Historical FS'!D10/'Historical FS'!D4,0)</f>
        <v>0.44728562104873515</v>
      </c>
      <c r="E10" s="5">
        <f>IFERROR('Historical FS'!E10/'Historical FS'!E4,0)</f>
        <v>0.43374350184737526</v>
      </c>
      <c r="F10" s="5">
        <f>IFERROR('Historical FS'!F10/'Historical FS'!F4,0)</f>
        <v>0.42416608801628164</v>
      </c>
      <c r="G10" s="5">
        <f>IFERROR('Historical FS'!G10/'Historical FS'!G4,0)</f>
        <v>0.4219261237168932</v>
      </c>
      <c r="H10" s="5">
        <f>IFERROR('Historical FS'!H10/'Historical FS'!H4,0)</f>
        <v>0.3950568622994905</v>
      </c>
      <c r="I10" s="5">
        <f>IFERROR('Historical FS'!I10/'Historical FS'!I4,0)</f>
        <v>0.46242137789326737</v>
      </c>
      <c r="J10" s="5">
        <f>IFERROR('Historical FS'!J10/'Historical FS'!J4,0)</f>
        <v>0.42191589779243904</v>
      </c>
      <c r="K10" s="5">
        <f>IFERROR('Historical FS'!K10/'Historical FS'!K4,0)</f>
        <v>0.42345393128055459</v>
      </c>
      <c r="M10" s="5">
        <f t="shared" ref="M10:M39" si="5">IFERROR(AVERAGE(B10:K10),0)</f>
        <v>0.42790411256118854</v>
      </c>
      <c r="N10" s="5">
        <f t="shared" ref="N10:N39" si="6">IFERROR(MEDIAN(B10:K10),0)</f>
        <v>0.42381000964841808</v>
      </c>
    </row>
    <row r="11" spans="1:14" x14ac:dyDescent="0.2">
      <c r="A11" s="26" t="s">
        <v>162</v>
      </c>
      <c r="B11" s="5">
        <f>IFERROR('Historical FS'!B17,0)</f>
        <v>0.2023598290841386</v>
      </c>
      <c r="C11" s="5">
        <f>IFERROR('Historical FS'!C17,0)</f>
        <v>0.20945192615089528</v>
      </c>
      <c r="D11" s="5">
        <f>IFERROR('Historical FS'!D17,0)</f>
        <v>0.23180901625625322</v>
      </c>
      <c r="E11" s="5">
        <f>IFERROR('Historical FS'!E17,0)</f>
        <v>0.23655135056472276</v>
      </c>
      <c r="F11" s="5">
        <f>IFERROR('Historical FS'!F17,0)</f>
        <v>0.23981219517858768</v>
      </c>
      <c r="G11" s="5">
        <f>IFERROR('Historical FS'!G17,0)</f>
        <v>0.24167282313665861</v>
      </c>
      <c r="H11" s="5">
        <f>IFERROR('Historical FS'!H17,0)</f>
        <v>0.21934655701380593</v>
      </c>
      <c r="I11" s="5">
        <f>IFERROR('Historical FS'!I17,0)</f>
        <v>0.23376136524053268</v>
      </c>
      <c r="J11" s="5">
        <f>IFERROR('Historical FS'!J17,0)</f>
        <v>0.23953211234452562</v>
      </c>
      <c r="K11" s="5">
        <f>IFERROR('Historical FS'!K17,0)</f>
        <v>0.23618621532198503</v>
      </c>
      <c r="M11" s="5">
        <f t="shared" si="5"/>
        <v>0.22904833902921054</v>
      </c>
      <c r="N11" s="5">
        <f t="shared" si="6"/>
        <v>0.23497379028125887</v>
      </c>
    </row>
    <row r="12" spans="1:14" x14ac:dyDescent="0.2">
      <c r="A12" s="26" t="s">
        <v>163</v>
      </c>
      <c r="B12" s="5">
        <f>IFERROR((('Historical FS'!B16-'Historical FS'!B22)/'Historical FS'!B4),0)</f>
        <v>0.16367075286555358</v>
      </c>
      <c r="C12" s="5">
        <f>IFERROR((('Historical FS'!C16-'Historical FS'!C22)/'Historical FS'!C4),0)</f>
        <v>0.17525975063938634</v>
      </c>
      <c r="D12" s="5">
        <f>IFERROR((('Historical FS'!D16-'Historical FS'!D22)/'Historical FS'!D4),0)</f>
        <v>0.2020833720766507</v>
      </c>
      <c r="E12" s="5">
        <f>IFERROR((('Historical FS'!E16-'Historical FS'!E22)/'Historical FS'!E4),0)</f>
        <v>0.20662548811939616</v>
      </c>
      <c r="F12" s="5">
        <f>IFERROR((('Historical FS'!F16-'Historical FS'!F22)/'Historical FS'!F4),0)</f>
        <v>0.2120684372993919</v>
      </c>
      <c r="G12" s="5">
        <f>IFERROR((('Historical FS'!G16-'Historical FS'!G22)/'Historical FS'!G4),0)</f>
        <v>0.21514606945854939</v>
      </c>
      <c r="H12" s="5">
        <f>IFERROR((('Historical FS'!H16-'Historical FS'!H22)/'Historical FS'!H4),0)</f>
        <v>0.19549552108781687</v>
      </c>
      <c r="I12" s="5">
        <f>IFERROR((('Historical FS'!I16-'Historical FS'!I22)/'Historical FS'!I4),0)</f>
        <v>0.21133622289726711</v>
      </c>
      <c r="J12" s="5">
        <f>IFERROR((('Historical FS'!J16-'Historical FS'!J22)/'Historical FS'!J4),0)</f>
        <v>0.21625784161525693</v>
      </c>
      <c r="K12" s="5">
        <f>IFERROR((('Historical FS'!K16-'Historical FS'!K22)/'Historical FS'!K4),0)</f>
        <v>0.20945956648892461</v>
      </c>
      <c r="M12" s="5">
        <f t="shared" si="5"/>
        <v>0.20074030225481937</v>
      </c>
      <c r="N12" s="5">
        <f t="shared" si="6"/>
        <v>0.2080425273041604</v>
      </c>
    </row>
    <row r="13" spans="1:14" x14ac:dyDescent="0.2">
      <c r="A13" s="26" t="s">
        <v>164</v>
      </c>
      <c r="B13" s="5">
        <f>IFERROR('Historical FS'!B26,0)</f>
        <v>0.16905398989644846</v>
      </c>
      <c r="C13" s="5">
        <f>IFERROR('Historical FS'!C26,0)</f>
        <v>0.18375359654731457</v>
      </c>
      <c r="D13" s="5">
        <f>IFERROR('Historical FS'!D26,0)</f>
        <v>0.21509847001532906</v>
      </c>
      <c r="E13" s="5">
        <f>IFERROR('Historical FS'!E26,0)</f>
        <v>0.21614614072391239</v>
      </c>
      <c r="F13" s="5">
        <f>IFERROR('Historical FS'!F26,0)</f>
        <v>0.21069540667698872</v>
      </c>
      <c r="G13" s="5">
        <f>IFERROR('Historical FS'!G26,0)</f>
        <v>0.1938402736932511</v>
      </c>
      <c r="H13" s="5">
        <f>IFERROR('Historical FS'!H26,0)</f>
        <v>0.19269560915099521</v>
      </c>
      <c r="I13" s="5">
        <f>IFERROR('Historical FS'!I26,0)</f>
        <v>0.21113806643208566</v>
      </c>
      <c r="J13" s="5">
        <f>IFERROR('Historical FS'!J26,0)</f>
        <v>0.21681125888490929</v>
      </c>
      <c r="K13" s="5">
        <f>IFERROR('Historical FS'!K26,0)</f>
        <v>0.22015478012589126</v>
      </c>
      <c r="M13" s="5">
        <f t="shared" si="5"/>
        <v>0.20293875921471258</v>
      </c>
      <c r="N13" s="5">
        <f t="shared" si="6"/>
        <v>0.21091673655453719</v>
      </c>
    </row>
    <row r="14" spans="1:14" x14ac:dyDescent="0.2">
      <c r="A14" s="26" t="s">
        <v>165</v>
      </c>
      <c r="B14" s="5">
        <f>IFERROR('Historical FS'!B32,0)</f>
        <v>0.10954192711353042</v>
      </c>
      <c r="C14" s="5">
        <f>IFERROR('Historical FS'!C32,0)</f>
        <v>0.12240149456521739</v>
      </c>
      <c r="D14" s="5">
        <f>IFERROR('Historical FS'!D32,0)</f>
        <v>0.14230354038647675</v>
      </c>
      <c r="E14" s="5">
        <f>IFERROR('Historical FS'!E32,0)</f>
        <v>0.1591443054758305</v>
      </c>
      <c r="F14" s="5">
        <f>IFERROR('Historical FS'!F32,0)</f>
        <v>0.15598691538520884</v>
      </c>
      <c r="G14" s="5">
        <f>IFERROR('Historical FS'!G32,0)</f>
        <v>0.14371270078063364</v>
      </c>
      <c r="H14" s="5">
        <f>IFERROR('Historical FS'!H32,0)</f>
        <v>0.14147633657178568</v>
      </c>
      <c r="I14" s="5">
        <f>IFERROR('Historical FS'!I32,0)</f>
        <v>0.15678254550017517</v>
      </c>
      <c r="J14" s="5">
        <f>IFERROR('Historical FS'!J32,0)</f>
        <v>0.16122233887256196</v>
      </c>
      <c r="K14" s="5">
        <f>IFERROR('Historical FS'!K32,0)</f>
        <v>0.16407148754848636</v>
      </c>
      <c r="M14" s="5">
        <f t="shared" si="5"/>
        <v>0.14566435921999069</v>
      </c>
      <c r="N14" s="5">
        <f t="shared" si="6"/>
        <v>0.14984980808292125</v>
      </c>
    </row>
    <row r="15" spans="1:14" x14ac:dyDescent="0.2">
      <c r="A15" s="37"/>
      <c r="M15" s="5"/>
      <c r="N15" s="5"/>
    </row>
    <row r="16" spans="1:14" x14ac:dyDescent="0.2">
      <c r="A16" s="26" t="s">
        <v>166</v>
      </c>
      <c r="B16" s="5">
        <f>IFERROR('Historical FS'!B14,0)</f>
        <v>0.22826959723629139</v>
      </c>
      <c r="C16" s="5">
        <f>IFERROR('Historical FS'!C14,0)</f>
        <v>0.20899036924552428</v>
      </c>
      <c r="D16" s="5">
        <f>IFERROR('Historical FS'!D14,0)</f>
        <v>0.21547660479248196</v>
      </c>
      <c r="E16" s="5">
        <f>IFERROR('Historical FS'!E14,0)</f>
        <v>0.19719215128265247</v>
      </c>
      <c r="F16" s="5">
        <f>IFERROR('Historical FS'!F14,0)</f>
        <v>0.18435389283769399</v>
      </c>
      <c r="G16" s="5">
        <f>IFERROR('Historical FS'!G14,0)</f>
        <v>0.18025330058023456</v>
      </c>
      <c r="H16" s="5">
        <f>IFERROR('Historical FS'!H14,0)</f>
        <v>0.17571030528568454</v>
      </c>
      <c r="I16" s="5">
        <f>IFERROR('Historical FS'!I14,0)</f>
        <v>0.22866001265273472</v>
      </c>
      <c r="J16" s="5">
        <f>IFERROR('Historical FS'!J14,0)</f>
        <v>0.18238378544791339</v>
      </c>
      <c r="K16" s="5">
        <f>IFERROR('Historical FS'!K14,0)</f>
        <v>0.18726771595856953</v>
      </c>
      <c r="M16" s="5">
        <f t="shared" si="5"/>
        <v>0.19885577353197809</v>
      </c>
      <c r="N16" s="5">
        <f t="shared" si="6"/>
        <v>0.192229933620611</v>
      </c>
    </row>
    <row r="17" spans="1:17" x14ac:dyDescent="0.2">
      <c r="A17" s="26" t="s">
        <v>167</v>
      </c>
      <c r="B17" s="5">
        <f>IFERROR('Historical FS'!B23,0)</f>
        <v>3.8689076218585021E-2</v>
      </c>
      <c r="C17" s="5">
        <f>IFERROR('Historical FS'!C23,0)</f>
        <v>3.4192175511508952E-2</v>
      </c>
      <c r="D17" s="5">
        <f>IFERROR('Historical FS'!D23,0)</f>
        <v>2.9725644179602505E-2</v>
      </c>
      <c r="E17" s="5">
        <f>IFERROR('Historical FS'!E23,0)</f>
        <v>2.9925862445326586E-2</v>
      </c>
      <c r="F17" s="5">
        <f>IFERROR('Historical FS'!F23,0)</f>
        <v>2.7743757879195776E-2</v>
      </c>
      <c r="G17" s="5">
        <f>IFERROR('Historical FS'!G23,0)</f>
        <v>2.6526753678109218E-2</v>
      </c>
      <c r="H17" s="5">
        <f>IFERROR('Historical FS'!H23,0)</f>
        <v>2.3851035925989056E-2</v>
      </c>
      <c r="I17" s="5">
        <f>IFERROR('Historical FS'!I23,0)</f>
        <v>2.2425142343265557E-2</v>
      </c>
      <c r="J17" s="5">
        <f>IFERROR('Historical FS'!J23,0)</f>
        <v>2.3274270729268683E-2</v>
      </c>
      <c r="K17" s="5">
        <f>IFERROR('Historical FS'!K23,0)</f>
        <v>2.6726648833060414E-2</v>
      </c>
      <c r="M17" s="5">
        <f t="shared" si="5"/>
        <v>2.8308036774391178E-2</v>
      </c>
      <c r="N17" s="5">
        <f t="shared" si="6"/>
        <v>2.7235203356128095E-2</v>
      </c>
    </row>
    <row r="18" spans="1:17" x14ac:dyDescent="0.2">
      <c r="A18" s="26" t="s">
        <v>168</v>
      </c>
      <c r="B18" s="5">
        <f>IFERROR('Ratio Analysis'!B12,0)</f>
        <v>0.16367075286555358</v>
      </c>
      <c r="C18" s="5">
        <f>IFERROR('Ratio Analysis'!C12,0)</f>
        <v>0.17525975063938634</v>
      </c>
      <c r="D18" s="5">
        <f>IFERROR('Ratio Analysis'!D12,0)</f>
        <v>0.2020833720766507</v>
      </c>
      <c r="E18" s="5">
        <f>IFERROR('Ratio Analysis'!E12,0)</f>
        <v>0.20662548811939616</v>
      </c>
      <c r="F18" s="5">
        <f>IFERROR('Ratio Analysis'!F12,0)</f>
        <v>0.2120684372993919</v>
      </c>
      <c r="G18" s="5">
        <f>IFERROR('Ratio Analysis'!G12,0)</f>
        <v>0.21514606945854939</v>
      </c>
      <c r="H18" s="5">
        <f>IFERROR('Ratio Analysis'!H12,0)</f>
        <v>0.19549552108781687</v>
      </c>
      <c r="I18" s="5">
        <f>IFERROR('Ratio Analysis'!I12,0)</f>
        <v>0.21133622289726711</v>
      </c>
      <c r="J18" s="5">
        <f>IFERROR('Ratio Analysis'!J12,0)</f>
        <v>0.21625784161525693</v>
      </c>
      <c r="K18" s="5">
        <f>IFERROR('Ratio Analysis'!K12,0)</f>
        <v>0.20945956648892461</v>
      </c>
      <c r="M18" s="5">
        <f t="shared" si="5"/>
        <v>0.20074030225481937</v>
      </c>
      <c r="N18" s="5">
        <f t="shared" si="6"/>
        <v>0.2080425273041604</v>
      </c>
      <c r="P18" s="2"/>
    </row>
    <row r="19" spans="1:17" x14ac:dyDescent="0.2">
      <c r="A19" s="37"/>
      <c r="G19" s="58"/>
      <c r="M19" s="5"/>
      <c r="N19" s="5"/>
    </row>
    <row r="20" spans="1:17" x14ac:dyDescent="0.2">
      <c r="A20" s="26" t="s">
        <v>169</v>
      </c>
      <c r="B20" s="5">
        <f>IFERROR(('Historical FS'!B16-'Historical FS'!B22)/('Historical FS'!B45+'Historical FS'!B46+ 'Historical FS'!B47),0)</f>
        <v>0.45126799136173334</v>
      </c>
      <c r="C20" s="5">
        <f>IFERROR(('Historical FS'!C16-'Historical FS'!C22)/('Historical FS'!C45+'Historical FS'!C46+ 'Historical FS'!C47),0)</f>
        <v>0.50764382634060001</v>
      </c>
      <c r="D20" s="5">
        <f>IFERROR(('Historical FS'!D16-'Historical FS'!D22)/('Historical FS'!D45+'Historical FS'!D46+ 'Historical FS'!D47),0)</f>
        <v>0.6152746920903347</v>
      </c>
      <c r="E20" s="5">
        <f>IFERROR(('Historical FS'!E16-'Historical FS'!E22)/('Historical FS'!E45+'Historical FS'!E46+ 'Historical FS'!E47),0)</f>
        <v>1.2125049221704041</v>
      </c>
      <c r="F20" s="5">
        <f>IFERROR(('Historical FS'!F16-'Historical FS'!F22)/('Historical FS'!F45+'Historical FS'!F46+ 'Historical FS'!F47),0)</f>
        <v>1.3065722737824383</v>
      </c>
      <c r="G20" s="5">
        <f>IFERROR(('Historical FS'!G16-'Historical FS'!G22)/('Historical FS'!G45+'Historical FS'!G46+ 'Historical FS'!G47),0)</f>
        <v>1.4331718515572742</v>
      </c>
      <c r="H20" s="5">
        <f>IFERROR(('Historical FS'!H16-'Historical FS'!H22)/('Historical FS'!H45+'Historical FS'!H46+ 'Historical FS'!H47),0)</f>
        <v>1.2101300880319736</v>
      </c>
      <c r="I20" s="5">
        <f>IFERROR(('Historical FS'!I16-'Historical FS'!I22)/('Historical FS'!I45+'Historical FS'!I46+ 'Historical FS'!I47),0)</f>
        <v>1.4807835321959635</v>
      </c>
      <c r="J20" s="5">
        <f>IFERROR(('Historical FS'!J16-'Historical FS'!J22)/('Historical FS'!J45+'Historical FS'!J46+ 'Historical FS'!J47),0)</f>
        <v>1.4314162293578478</v>
      </c>
      <c r="K20" s="5">
        <f>IFERROR(('Historical FS'!K16-'Historical FS'!K22)/('Historical FS'!K45+'Historical FS'!K46+ 'Historical FS'!K47),0)</f>
        <v>0.80079674489023467</v>
      </c>
      <c r="M20" s="5">
        <f t="shared" si="5"/>
        <v>1.0449562151778804</v>
      </c>
      <c r="N20" s="5">
        <f t="shared" si="6"/>
        <v>1.2113175051011889</v>
      </c>
    </row>
    <row r="21" spans="1:17" x14ac:dyDescent="0.2">
      <c r="A21" s="26" t="s">
        <v>170</v>
      </c>
      <c r="B21" s="5">
        <f>IFERROR('Historical FS'!B41,0)</f>
        <v>0.3933750099864185</v>
      </c>
      <c r="C21" s="5">
        <f>IFERROR('Historical FS'!C41,0)</f>
        <v>0.32319885079048971</v>
      </c>
      <c r="D21" s="5">
        <f>IFERROR('Historical FS'!D41,0)</f>
        <v>0.30996994268574241</v>
      </c>
      <c r="E21" s="5">
        <f>IFERROR('Historical FS'!E41,0)</f>
        <v>-0.67521489097965914</v>
      </c>
      <c r="F21" s="5">
        <f>IFERROR('Historical FS'!F41,0)</f>
        <v>7.396647186219929E-2</v>
      </c>
      <c r="G21" s="5">
        <f>IFERROR('Historical FS'!G41,0)</f>
        <v>8.9694629462663156E-2</v>
      </c>
      <c r="H21" s="5">
        <f>IFERROR('Historical FS'!H41,0)</f>
        <v>0.11264494754279397</v>
      </c>
      <c r="I21" s="5">
        <f>IFERROR('Historical FS'!I41,0)</f>
        <v>0.44051529511416732</v>
      </c>
      <c r="J21" s="5">
        <f>IFERROR('Historical FS'!J41,0)</f>
        <v>0.21056539294759014</v>
      </c>
      <c r="K21" s="5">
        <f>IFERROR('Historical FS'!K41,0)</f>
        <v>0.21456026550007545</v>
      </c>
      <c r="M21" s="5">
        <f t="shared" si="5"/>
        <v>0.14932759149124811</v>
      </c>
      <c r="N21" s="5">
        <f t="shared" si="6"/>
        <v>0.21256282922383279</v>
      </c>
    </row>
    <row r="22" spans="1:17" x14ac:dyDescent="0.2">
      <c r="A22" s="26" t="s">
        <v>171</v>
      </c>
      <c r="B22" s="5">
        <f>IFERROR('Historical FS'!B31/SUM('Historical FS'!B45:B46),0)</f>
        <v>0.30507596737683296</v>
      </c>
      <c r="C22" s="5">
        <f>IFERROR('Historical FS'!C31/SUM('Historical FS'!C45:C46),0)</f>
        <v>0.35818089861690527</v>
      </c>
      <c r="D22" s="5">
        <f>IFERROR('Historical FS'!D31/SUM('Historical FS'!D45:D46),0)</f>
        <v>0.43740983303118885</v>
      </c>
      <c r="E22" s="5">
        <f>IFERROR('Historical FS'!E31/SUM('Historical FS'!E45:E46),0)</f>
        <v>1.0258329120784626</v>
      </c>
      <c r="F22" s="5">
        <f>IFERROR('Historical FS'!F31/SUM('Historical FS'!F45:F46),0)</f>
        <v>1.0312428813374666</v>
      </c>
      <c r="G22" s="5">
        <f>IFERROR('Historical FS'!G31/SUM('Historical FS'!G45:G46),0)</f>
        <v>1.0883845908815339</v>
      </c>
      <c r="H22" s="5">
        <f>IFERROR('Historical FS'!H31/SUM('Historical FS'!H45:H46),0)</f>
        <v>0.97208407714798062</v>
      </c>
      <c r="I22" s="5">
        <f>IFERROR('Historical FS'!I31/SUM('Historical FS'!I45:I46),0)</f>
        <v>1.2193829625442731</v>
      </c>
      <c r="J22" s="5">
        <f>IFERROR('Historical FS'!J31/SUM('Historical FS'!J45:J46),0)</f>
        <v>1.1771833254013153</v>
      </c>
      <c r="K22" s="5">
        <f>IFERROR('Historical FS'!K31/SUM('Historical FS'!K45:K46),0)</f>
        <v>0.80504718069538406</v>
      </c>
      <c r="M22" s="5">
        <f t="shared" si="5"/>
        <v>0.84198246291113432</v>
      </c>
      <c r="N22" s="5">
        <f t="shared" si="6"/>
        <v>0.99895849461322161</v>
      </c>
    </row>
    <row r="23" spans="1:17" x14ac:dyDescent="0.2">
      <c r="A23" s="26" t="s">
        <v>172</v>
      </c>
      <c r="B23" s="5">
        <f t="shared" ref="B23:K23" si="7">IFERROR(B21*B22,0)</f>
        <v>0.12000926171347795</v>
      </c>
      <c r="C23" s="5">
        <f t="shared" si="7"/>
        <v>0.11576365480808869</v>
      </c>
      <c r="D23" s="5">
        <f t="shared" si="7"/>
        <v>0.13558390087485778</v>
      </c>
      <c r="E23" s="5">
        <f t="shared" si="7"/>
        <v>-0.69265765789240541</v>
      </c>
      <c r="F23" s="5">
        <f t="shared" si="7"/>
        <v>7.6277397565541041E-2</v>
      </c>
      <c r="G23" s="5">
        <f t="shared" si="7"/>
        <v>9.7622252591991421E-2</v>
      </c>
      <c r="H23" s="5">
        <f t="shared" si="7"/>
        <v>0.10950035987751956</v>
      </c>
      <c r="I23" s="5">
        <f t="shared" si="7"/>
        <v>0.53715684560237809</v>
      </c>
      <c r="J23" s="5">
        <f t="shared" si="7"/>
        <v>0.24787406948447882</v>
      </c>
      <c r="K23" s="5">
        <f t="shared" si="7"/>
        <v>0.17273113683008881</v>
      </c>
      <c r="M23" s="5">
        <f t="shared" si="5"/>
        <v>9.1986122145601673E-2</v>
      </c>
      <c r="N23" s="5">
        <f t="shared" si="6"/>
        <v>0.11788645826078331</v>
      </c>
    </row>
    <row r="24" spans="1:17" x14ac:dyDescent="0.2">
      <c r="A24" s="26" t="s">
        <v>173</v>
      </c>
      <c r="B24" s="57">
        <f>IFERROR(('Historical FS'!B16-'Historical FS'!B22)/'Historical FS'!B19,0)</f>
        <v>16.457705422945768</v>
      </c>
      <c r="C24" s="57">
        <f>IFERROR(('Historical FS'!C16-'Historical FS'!C22)/'Historical FS'!C19,0)</f>
        <v>19.089009793253553</v>
      </c>
      <c r="D24" s="57">
        <f>IFERROR(('Historical FS'!D16-'Historical FS'!D22)/'Historical FS'!D19,0)</f>
        <v>20.383921393479234</v>
      </c>
      <c r="E24" s="57">
        <f>IFERROR(('Historical FS'!E16-'Historical FS'!E22)/'Historical FS'!E19,0)</f>
        <v>19.793447955390327</v>
      </c>
      <c r="F24" s="57">
        <f>IFERROR(('Historical FS'!F16-'Historical FS'!F22)/'Historical FS'!F19,0)</f>
        <v>17.244000487270075</v>
      </c>
      <c r="G24" s="57">
        <f>IFERROR(('Historical FS'!G16-'Historical FS'!G22)/'Historical FS'!G19,0)</f>
        <v>15.72481158270527</v>
      </c>
      <c r="H24" s="57">
        <f>IFERROR(('Historical FS'!H16-'Historical FS'!H22)/'Historical FS'!H19,0)</f>
        <v>21.370770524681362</v>
      </c>
      <c r="I24" s="57">
        <f>IFERROR(('Historical FS'!I16-'Historical FS'!I22)/'Historical FS'!I19,0)</f>
        <v>33.884483192220635</v>
      </c>
      <c r="J24" s="57">
        <f>IFERROR(('Historical FS'!J16-'Historical FS'!J22)/'Historical FS'!J19,0)</f>
        <v>36.259330538181317</v>
      </c>
      <c r="K24" s="57">
        <f>IFERROR(('Historical FS'!K16-'Historical FS'!K22)/'Historical FS'!K19,0)</f>
        <v>31.113308823529412</v>
      </c>
      <c r="M24" s="57">
        <f>IFERROR(AVERAGE(B24:K24),0)</f>
        <v>23.132078971365697</v>
      </c>
      <c r="N24" s="57">
        <f t="shared" si="6"/>
        <v>20.088684674434781</v>
      </c>
      <c r="Q24" s="2"/>
    </row>
    <row r="25" spans="1:17" x14ac:dyDescent="0.2">
      <c r="A25" s="37"/>
      <c r="M25" s="57"/>
      <c r="N25" s="57"/>
    </row>
    <row r="26" spans="1:17" x14ac:dyDescent="0.2">
      <c r="A26" s="26" t="s">
        <v>174</v>
      </c>
      <c r="B26" s="57">
        <f>IFERROR('Historical FS'!B4/'Historical FS'!B57,0)</f>
        <v>93.345655059736544</v>
      </c>
      <c r="C26" s="57">
        <f>IFERROR('Historical FS'!C4/'Historical FS'!C57,0)</f>
        <v>112.50533887827358</v>
      </c>
      <c r="D26" s="57">
        <f>IFERROR('Historical FS'!D4/'Historical FS'!D57,0)</f>
        <v>90.635444257163499</v>
      </c>
      <c r="E26" s="57">
        <f>IFERROR('Historical FS'!E4/'Historical FS'!E57,0)</f>
        <v>99.484436580069172</v>
      </c>
      <c r="F26" s="57">
        <f>IFERROR('Historical FS'!F4/'Historical FS'!F57,0)</f>
        <v>80.943612441641903</v>
      </c>
      <c r="G26" s="57">
        <f>IFERROR('Historical FS'!G4/'Historical FS'!G57,0)</f>
        <v>88.814785804663501</v>
      </c>
      <c r="H26" s="57">
        <f>IFERROR('Historical FS'!H4/'Historical FS'!H57,0)</f>
        <v>88.055448433998649</v>
      </c>
      <c r="I26" s="57">
        <f>IFERROR('Historical FS'!I4/'Historical FS'!I57,0)</f>
        <v>99.673250299650846</v>
      </c>
      <c r="J26" s="57">
        <f>IFERROR('Historical FS'!J4/'Historical FS'!J57,0)</f>
        <v>81.188477667576393</v>
      </c>
      <c r="K26" s="57">
        <f>IFERROR('Historical FS'!K4/'Historical FS'!K57,0)</f>
        <v>55.628693377392267</v>
      </c>
      <c r="M26" s="57">
        <f t="shared" si="5"/>
        <v>89.027514280016632</v>
      </c>
      <c r="N26" s="57">
        <f t="shared" si="6"/>
        <v>89.7251150309135</v>
      </c>
    </row>
    <row r="27" spans="1:17" x14ac:dyDescent="0.2">
      <c r="A27" s="26" t="s">
        <v>175</v>
      </c>
      <c r="B27" s="57">
        <f>IFERROR('Historical FS'!B4/'Historical FS'!B48,0)</f>
        <v>2.6155628930637658</v>
      </c>
      <c r="C27" s="57">
        <f>IFERROR('Historical FS'!C4/'Historical FS'!C48,0)</f>
        <v>2.5620575090993789</v>
      </c>
      <c r="D27" s="57">
        <f>IFERROR('Historical FS'!D4/'Historical FS'!D48,0)</f>
        <v>2.5786148154914144</v>
      </c>
      <c r="E27" s="57">
        <f>IFERROR('Historical FS'!E4/'Historical FS'!E48,0)</f>
        <v>2.4419708872230328</v>
      </c>
      <c r="F27" s="57">
        <f>IFERROR('Historical FS'!F4/'Historical FS'!F48,0)</f>
        <v>2.3286696087494989</v>
      </c>
      <c r="G27" s="57">
        <f>IFERROR('Historical FS'!G4/'Historical FS'!G48,0)</f>
        <v>2.4480784018042647</v>
      </c>
      <c r="H27" s="57">
        <f>IFERROR('Historical FS'!H4/'Historical FS'!H48,0)</f>
        <v>2.7039245965386738</v>
      </c>
      <c r="I27" s="57">
        <f>IFERROR('Historical FS'!I4/'Historical FS'!I48,0)</f>
        <v>3.0606732223297941</v>
      </c>
      <c r="J27" s="57">
        <f>IFERROR('Historical FS'!J4/'Historical FS'!J48,0)</f>
        <v>3.5675891096928178</v>
      </c>
      <c r="K27" s="57">
        <f>IFERROR('Historical FS'!K4/'Historical FS'!K48,0)</f>
        <v>2.8695846099868039</v>
      </c>
      <c r="M27" s="57">
        <f t="shared" si="5"/>
        <v>2.7176725653979448</v>
      </c>
      <c r="N27" s="57">
        <f t="shared" si="6"/>
        <v>2.5970888542775903</v>
      </c>
    </row>
    <row r="28" spans="1:17" x14ac:dyDescent="0.2">
      <c r="A28" s="26" t="s">
        <v>176</v>
      </c>
      <c r="B28" s="57">
        <f>IFERROR('Historical FS'!B4/'Historical FS'!B58,0)</f>
        <v>9.724209093036615</v>
      </c>
      <c r="C28" s="57">
        <f>IFERROR('Historical FS'!C4/'Historical FS'!C58,0)</f>
        <v>11.091338216228795</v>
      </c>
      <c r="D28" s="57">
        <f>IFERROR('Historical FS'!D4/'Historical FS'!D58,0)</f>
        <v>11.695168556781111</v>
      </c>
      <c r="E28" s="57">
        <f>IFERROR('Historical FS'!E4/'Historical FS'!E58,0)</f>
        <v>9.6400819908500708</v>
      </c>
      <c r="F28" s="57">
        <f>IFERROR('Historical FS'!F4/'Historical FS'!F58,0)</f>
        <v>9.4247924432395802</v>
      </c>
      <c r="G28" s="57">
        <f>IFERROR('Historical FS'!G4/'Historical FS'!G58,0)</f>
        <v>9.2553856779581203</v>
      </c>
      <c r="H28" s="57">
        <f>IFERROR('Historical FS'!H4/'Historical FS'!H58,0)</f>
        <v>8.760484661208956</v>
      </c>
      <c r="I28" s="57">
        <f>IFERROR('Historical FS'!I4/'Historical FS'!I58,0)</f>
        <v>9.9163197270799515</v>
      </c>
      <c r="J28" s="57">
        <f>IFERROR('Historical FS'!J4/'Historical FS'!J58,0)</f>
        <v>11.67529291266225</v>
      </c>
      <c r="K28" s="57">
        <f>IFERROR('Historical FS'!K4/'Historical FS'!K58,0)</f>
        <v>7.0879184882146147</v>
      </c>
      <c r="M28" s="57">
        <f t="shared" si="5"/>
        <v>9.8270991767260067</v>
      </c>
      <c r="N28" s="57">
        <f t="shared" si="6"/>
        <v>9.682145541943342</v>
      </c>
    </row>
    <row r="29" spans="1:17" x14ac:dyDescent="0.2">
      <c r="A29" s="26" t="s">
        <v>177</v>
      </c>
      <c r="B29" s="57">
        <f>IFERROR('Historical FS'!B4/'Historical FS'!B51,0)</f>
        <v>3.3483044825540085</v>
      </c>
      <c r="C29" s="57">
        <f>IFERROR('Historical FS'!C4/'Historical FS'!C51,0)</f>
        <v>3.8260364348018872</v>
      </c>
      <c r="D29" s="57">
        <f>IFERROR('Historical FS'!D4/'Historical FS'!D51,0)</f>
        <v>4.7038973265239816</v>
      </c>
      <c r="E29" s="57">
        <f>IFERROR('Historical FS'!E4/'Historical FS'!E51,0)</f>
        <v>5.2825813064554019</v>
      </c>
      <c r="F29" s="57">
        <f>IFERROR('Historical FS'!F4/'Historical FS'!F51,0)</f>
        <v>6.125524797995789</v>
      </c>
      <c r="G29" s="57">
        <f>IFERROR('Historical FS'!G4/'Historical FS'!G51,0)</f>
        <v>4.9222752423472365</v>
      </c>
      <c r="H29" s="57">
        <f>IFERROR('Historical FS'!H4/'Historical FS'!H51,0)</f>
        <v>5.551453822650064</v>
      </c>
      <c r="I29" s="57">
        <f>IFERROR('Historical FS'!I4/'Historical FS'!I51,0)</f>
        <v>6.2838978874396298</v>
      </c>
      <c r="J29" s="57">
        <f>IFERROR('Historical FS'!J4/'Historical FS'!J51,0)</f>
        <v>7.0497478505888305</v>
      </c>
      <c r="K29" s="57">
        <f>IFERROR('Historical FS'!K4/'Historical FS'!K51,0)</f>
        <v>3.6907196530260653</v>
      </c>
      <c r="M29" s="57">
        <f t="shared" si="5"/>
        <v>5.0784438804382894</v>
      </c>
      <c r="N29" s="57">
        <f t="shared" si="6"/>
        <v>5.1024282744013192</v>
      </c>
    </row>
    <row r="30" spans="1:17" x14ac:dyDescent="0.2">
      <c r="A30" s="26" t="s">
        <v>178</v>
      </c>
      <c r="B30" s="57">
        <f>IFERROR('Historical FS'!B4/SUM('Historical FS'!B45:B46),0)</f>
        <v>2.7850155225099247</v>
      </c>
      <c r="C30" s="57">
        <f>IFERROR('Historical FS'!C4/SUM('Historical FS'!C45:C46),0)</f>
        <v>2.9262787998561652</v>
      </c>
      <c r="D30" s="57">
        <f>IFERROR('Historical FS'!D4/SUM('Historical FS'!D45:D46),0)</f>
        <v>3.0737803981773344</v>
      </c>
      <c r="E30" s="57">
        <f>IFERROR('Historical FS'!E4/SUM('Historical FS'!E45:E46),0)</f>
        <v>6.445929114530947</v>
      </c>
      <c r="F30" s="57">
        <f>IFERROR('Historical FS'!F4/SUM('Historical FS'!F45:F46),0)</f>
        <v>6.6110858003109927</v>
      </c>
      <c r="G30" s="57">
        <f>IFERROR('Historical FS'!G4/SUM('Historical FS'!G45:G46),0)</f>
        <v>7.5733361419661112</v>
      </c>
      <c r="H30" s="57">
        <f>IFERROR('Historical FS'!H4/SUM('Historical FS'!H45:H46),0)</f>
        <v>6.8710011914589062</v>
      </c>
      <c r="I30" s="57">
        <f>IFERROR('Historical FS'!I4/SUM('Historical FS'!I45:I46),0)</f>
        <v>7.7775428294912503</v>
      </c>
      <c r="J30" s="57">
        <f>IFERROR('Historical FS'!J4/SUM('Historical FS'!J45:J46),0)</f>
        <v>7.3016142405167486</v>
      </c>
      <c r="K30" s="57">
        <f>IFERROR('Historical FS'!K4/SUM('Historical FS'!K45:K46),0)</f>
        <v>4.9066854498864512</v>
      </c>
      <c r="M30" s="57">
        <f t="shared" si="5"/>
        <v>5.6272269488704838</v>
      </c>
      <c r="N30" s="57">
        <f t="shared" si="6"/>
        <v>6.5285074574209698</v>
      </c>
    </row>
    <row r="31" spans="1:17" x14ac:dyDescent="0.2">
      <c r="A31" s="37"/>
      <c r="M31" s="5"/>
      <c r="N31" s="5"/>
    </row>
    <row r="32" spans="1:17" x14ac:dyDescent="0.2">
      <c r="A32" s="26" t="s">
        <v>46</v>
      </c>
      <c r="B32" s="59">
        <f>IFERROR(365/B26,0)</f>
        <v>3.9101980672417831</v>
      </c>
      <c r="C32" s="59">
        <f>IFERROR(365/'Ratio Analysis'!C26,0)</f>
        <v>3.2442904811381075</v>
      </c>
      <c r="D32" s="59">
        <f>IFERROR(365/'Ratio Analysis'!D26,0)</f>
        <v>4.0271220932549436</v>
      </c>
      <c r="E32" s="59">
        <f>IFERROR(365/'Ratio Analysis'!E26,0)</f>
        <v>3.6689155866730268</v>
      </c>
      <c r="F32" s="59">
        <f>IFERROR(365/'Ratio Analysis'!F26,0)</f>
        <v>4.5093119640929649</v>
      </c>
      <c r="G32" s="59">
        <f>IFERROR(365/'Ratio Analysis'!G26,0)</f>
        <v>4.1096760713105782</v>
      </c>
      <c r="H32" s="59">
        <f>IFERROR(365/'Ratio Analysis'!H26,0)</f>
        <v>4.1451154527204892</v>
      </c>
      <c r="I32" s="59">
        <f>IFERROR(365/'Ratio Analysis'!I26,0)</f>
        <v>3.6619654611712664</v>
      </c>
      <c r="J32" s="59">
        <f>IFERROR(365/'Ratio Analysis'!J26,0)</f>
        <v>4.4957118360376302</v>
      </c>
      <c r="K32" s="59">
        <f>IFERROR(365/'Ratio Analysis'!K26,0)</f>
        <v>6.5613620928284737</v>
      </c>
      <c r="M32" s="59">
        <f t="shared" si="5"/>
        <v>4.2333669106469269</v>
      </c>
      <c r="N32" s="59">
        <f t="shared" si="6"/>
        <v>4.0683990822827614</v>
      </c>
    </row>
    <row r="33" spans="1:17" x14ac:dyDescent="0.2">
      <c r="A33" s="26" t="s">
        <v>179</v>
      </c>
      <c r="B33" s="59">
        <f t="shared" ref="B33:K33" si="8">IFERROR(365/B27,0)</f>
        <v>139.54931115131916</v>
      </c>
      <c r="C33" s="59">
        <f t="shared" si="8"/>
        <v>142.46362492007674</v>
      </c>
      <c r="D33" s="59">
        <f t="shared" si="8"/>
        <v>141.54886484294121</v>
      </c>
      <c r="E33" s="59">
        <f t="shared" si="8"/>
        <v>149.46943139648636</v>
      </c>
      <c r="F33" s="59">
        <f t="shared" si="8"/>
        <v>156.7418575089344</v>
      </c>
      <c r="G33" s="59">
        <f t="shared" si="8"/>
        <v>149.09653209267742</v>
      </c>
      <c r="H33" s="59">
        <f t="shared" si="8"/>
        <v>134.98897138893625</v>
      </c>
      <c r="I33" s="59">
        <f t="shared" si="8"/>
        <v>119.25480882345252</v>
      </c>
      <c r="J33" s="59">
        <f t="shared" si="8"/>
        <v>102.30998827985205</v>
      </c>
      <c r="K33" s="59">
        <f t="shared" si="8"/>
        <v>127.19611010238813</v>
      </c>
      <c r="M33" s="59">
        <f t="shared" si="5"/>
        <v>136.26195005070639</v>
      </c>
      <c r="N33" s="59">
        <f t="shared" si="6"/>
        <v>140.54908799713019</v>
      </c>
    </row>
    <row r="34" spans="1:17" x14ac:dyDescent="0.2">
      <c r="A34" s="26" t="s">
        <v>180</v>
      </c>
      <c r="B34" s="59">
        <f t="shared" ref="B34:K34" si="9">IFERROR(365/B28,0)</f>
        <v>37.535186307477893</v>
      </c>
      <c r="C34" s="59">
        <f t="shared" si="9"/>
        <v>32.908562779731454</v>
      </c>
      <c r="D34" s="59">
        <f t="shared" si="9"/>
        <v>31.209468955311905</v>
      </c>
      <c r="E34" s="59">
        <f t="shared" si="9"/>
        <v>37.862748506334434</v>
      </c>
      <c r="F34" s="59">
        <f t="shared" si="9"/>
        <v>38.727643308666721</v>
      </c>
      <c r="G34" s="59">
        <f t="shared" si="9"/>
        <v>39.436498132028639</v>
      </c>
      <c r="H34" s="59">
        <f t="shared" si="9"/>
        <v>41.664361518284949</v>
      </c>
      <c r="I34" s="59">
        <f t="shared" si="9"/>
        <v>36.808010435891944</v>
      </c>
      <c r="J34" s="59">
        <f t="shared" si="9"/>
        <v>31.262598954082353</v>
      </c>
      <c r="K34" s="59">
        <f t="shared" si="9"/>
        <v>51.49607753064614</v>
      </c>
      <c r="M34" s="59">
        <f t="shared" si="5"/>
        <v>37.891115642845648</v>
      </c>
      <c r="N34" s="59">
        <f t="shared" si="6"/>
        <v>37.698967406906164</v>
      </c>
    </row>
    <row r="35" spans="1:17" x14ac:dyDescent="0.2">
      <c r="A35" s="26" t="s">
        <v>181</v>
      </c>
      <c r="B35" s="59">
        <f t="shared" ref="B35:K35" si="10">SUM(B32,B34-B33)</f>
        <v>-98.103926776599494</v>
      </c>
      <c r="C35" s="59">
        <f t="shared" si="10"/>
        <v>-106.31077165920718</v>
      </c>
      <c r="D35" s="59">
        <f t="shared" si="10"/>
        <v>-106.31227379437436</v>
      </c>
      <c r="E35" s="59">
        <f t="shared" si="10"/>
        <v>-107.93776730347889</v>
      </c>
      <c r="F35" s="59">
        <f t="shared" si="10"/>
        <v>-113.50490223617471</v>
      </c>
      <c r="G35" s="59">
        <f t="shared" si="10"/>
        <v>-105.5503578893382</v>
      </c>
      <c r="H35" s="59">
        <f t="shared" si="10"/>
        <v>-89.179494417930812</v>
      </c>
      <c r="I35" s="59">
        <f t="shared" si="10"/>
        <v>-78.784832926389313</v>
      </c>
      <c r="J35" s="59">
        <f t="shared" si="10"/>
        <v>-66.551677489732072</v>
      </c>
      <c r="K35" s="59">
        <f t="shared" si="10"/>
        <v>-69.138670478913511</v>
      </c>
      <c r="M35" s="59">
        <f t="shared" si="5"/>
        <v>-94.137467497213848</v>
      </c>
      <c r="N35" s="59">
        <f t="shared" si="6"/>
        <v>-101.82714233296885</v>
      </c>
    </row>
    <row r="36" spans="1:17" x14ac:dyDescent="0.2">
      <c r="A36" s="37"/>
      <c r="M36" s="5"/>
      <c r="N36" s="5"/>
      <c r="Q36" s="2"/>
    </row>
    <row r="37" spans="1:17" x14ac:dyDescent="0.2">
      <c r="A37" s="26" t="s">
        <v>182</v>
      </c>
      <c r="B37" s="5">
        <f>IFERROR('Historical FS'!B77/'Historical FS'!B4,0)</f>
        <v>0.16047975460928046</v>
      </c>
      <c r="C37" s="5">
        <f>IFERROR('Historical FS'!C77/'Historical FS'!C4,0)</f>
        <v>0.18162563938618925</v>
      </c>
      <c r="D37" s="5">
        <f>IFERROR('Historical FS'!D77/'Historical FS'!D4,0)</f>
        <v>0.18180578395663582</v>
      </c>
      <c r="E37" s="5">
        <f>IFERROR('Historical FS'!E77/'Historical FS'!E4,0)</f>
        <v>0.18546515858322082</v>
      </c>
      <c r="F37" s="5">
        <f>IFERROR('Historical FS'!F77/'Historical FS'!F4,0)</f>
        <v>0.18389471783958536</v>
      </c>
      <c r="G37" s="5">
        <f>IFERROR('Historical FS'!G77/'Historical FS'!G4,0)</f>
        <v>0.15155431363330776</v>
      </c>
      <c r="H37" s="5">
        <f>IFERROR('Historical FS'!H77/'Historical FS'!H4,0)</f>
        <v>0.16198180027649944</v>
      </c>
      <c r="I37" s="5">
        <f>IFERROR('Historical FS'!I77/'Historical FS'!I4,0)</f>
        <v>0.17739970616376405</v>
      </c>
      <c r="J37" s="5">
        <f>IFERROR('Historical FS'!J77/'Historical FS'!J4,0)</f>
        <v>0.17110842100214441</v>
      </c>
      <c r="K37" s="5">
        <f>IFERROR('Historical FS'!K77/'Historical FS'!K4,0)</f>
        <v>0.14538481186601429</v>
      </c>
      <c r="M37" s="5">
        <f t="shared" si="5"/>
        <v>0.17007001073166417</v>
      </c>
      <c r="N37" s="5">
        <f t="shared" si="6"/>
        <v>0.17425406358295423</v>
      </c>
    </row>
    <row r="38" spans="1:17" x14ac:dyDescent="0.2">
      <c r="A38" s="26" t="s">
        <v>183</v>
      </c>
      <c r="B38" s="5">
        <f>IFERROR('Historical FS'!B77/'Historical FS'!B62,0)</f>
        <v>0.21540395215594835</v>
      </c>
      <c r="C38" s="5">
        <f>IFERROR('Historical FS'!C77/'Historical FS'!C62,0)</f>
        <v>0.24692397648110243</v>
      </c>
      <c r="D38" s="5">
        <f>IFERROR('Historical FS'!D77/'Historical FS'!D62,0)</f>
        <v>0.25383032808775385</v>
      </c>
      <c r="E38" s="5">
        <f>IFERROR('Historical FS'!E77/'Historical FS'!E62,0)</f>
        <v>0.31981307525226754</v>
      </c>
      <c r="F38" s="5">
        <f>IFERROR('Historical FS'!F77/'Historical FS'!F62,0)</f>
        <v>0.31077011492797851</v>
      </c>
      <c r="G38" s="5">
        <f>IFERROR('Historical FS'!G77/'Historical FS'!G62,0)</f>
        <v>0.27130978014677931</v>
      </c>
      <c r="H38" s="5">
        <f>IFERROR('Historical FS'!H77/'Historical FS'!H62,0)</f>
        <v>0.30483119012244475</v>
      </c>
      <c r="I38" s="5">
        <f>IFERROR('Historical FS'!I77/'Historical FS'!I62,0)</f>
        <v>0.37789266645431313</v>
      </c>
      <c r="J38" s="5">
        <f>IFERROR('Historical FS'!J77/'Historical FS'!J62,0)</f>
        <v>0.39665268467537013</v>
      </c>
      <c r="K38" s="5">
        <f>IFERROR('Historical FS'!K77/'Historical FS'!K62,0)</f>
        <v>0.2383176091315323</v>
      </c>
      <c r="M38" s="5">
        <f t="shared" si="5"/>
        <v>0.29357453774354897</v>
      </c>
      <c r="N38" s="5">
        <f t="shared" si="6"/>
        <v>0.28807048513461203</v>
      </c>
    </row>
    <row r="39" spans="1:17" x14ac:dyDescent="0.2">
      <c r="A39" s="26" t="s">
        <v>184</v>
      </c>
      <c r="B39" s="60">
        <f>IFERROR('Historical FS'!B77/'Historical FS'!B47,0)</f>
        <v>44.25339366515837</v>
      </c>
      <c r="C39" s="60">
        <f>IFERROR('Historical FS'!C77/'Historical FS'!C47,0)</f>
        <v>51.735913488901538</v>
      </c>
      <c r="D39" s="60">
        <f>IFERROR('Historical FS'!D77/'Historical FS'!D47,0)</f>
        <v>58.423449060899259</v>
      </c>
      <c r="E39" s="60">
        <f>IFERROR('Historical FS'!E77/'Historical FS'!E47,0)</f>
        <v>12.141420556790516</v>
      </c>
      <c r="F39" s="60">
        <f>IFERROR('Historical FS'!F77/'Historical FS'!F47,0)</f>
        <v>16.645196284493863</v>
      </c>
      <c r="G39" s="60">
        <f>IFERROR('Historical FS'!G77/'Historical FS'!G47,0)</f>
        <v>8.3839975981385582</v>
      </c>
      <c r="H39" s="60">
        <f>IFERROR('Historical FS'!H77/'Historical FS'!H47,0)</f>
        <v>10.117551382522549</v>
      </c>
      <c r="I39" s="60">
        <f>IFERROR('Historical FS'!I77/'Historical FS'!I47,0)</f>
        <v>12.542510720094633</v>
      </c>
      <c r="J39" s="60">
        <f>IFERROR('Historical FS'!J77/'Historical FS'!J47,0)</f>
        <v>12.115055292717615</v>
      </c>
      <c r="K39" s="60">
        <f>IFERROR('Historical FS'!K77/'Historical FS'!K47,0)</f>
        <v>2.5170330376655099</v>
      </c>
      <c r="M39" s="5">
        <f t="shared" si="5"/>
        <v>22.887552108738241</v>
      </c>
      <c r="N39" s="5">
        <f t="shared" si="6"/>
        <v>12.341965638442574</v>
      </c>
    </row>
    <row r="44" spans="1:17" x14ac:dyDescent="0.2">
      <c r="Q44" s="2"/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F0E0620-E8F0-BA42-9740-E764E66A61F0}">
          <x14:colorSeries theme="4" tint="0.39997558519241921"/>
          <x14:colorNegative theme="0" tint="-0.499984740745262"/>
          <x14:colorAxis rgb="FF000000"/>
          <x14:colorMarkers theme="4" tint="0.79998168889431442"/>
          <x14:colorFirst theme="4" tint="-0.249977111117893"/>
          <x14:colorLast theme="4" tint="-0.249977111117893"/>
          <x14:colorHigh theme="4" tint="-0.499984740745262"/>
          <x14:colorLow theme="4" tint="-0.499984740745262"/>
          <x14:sparklines>
            <x14:sparkline>
              <xm:f>'Ratio Analysis'!B3:K3</xm:f>
              <xm:sqref>L3</xm:sqref>
            </x14:sparkline>
            <x14:sparkline>
              <xm:f>'Ratio Analysis'!B4:K4</xm:f>
              <xm:sqref>L4</xm:sqref>
            </x14:sparkline>
            <x14:sparkline>
              <xm:f>'Ratio Analysis'!B5:K5</xm:f>
              <xm:sqref>L5</xm:sqref>
            </x14:sparkline>
            <x14:sparkline>
              <xm:f>'Ratio Analysis'!B6:K6</xm:f>
              <xm:sqref>L6</xm:sqref>
            </x14:sparkline>
            <x14:sparkline>
              <xm:f>'Ratio Analysis'!B7:K7</xm:f>
              <xm:sqref>L7</xm:sqref>
            </x14:sparkline>
            <x14:sparkline>
              <xm:f>'Ratio Analysis'!B8:K8</xm:f>
              <xm:sqref>L8</xm:sqref>
            </x14:sparkline>
            <x14:sparkline>
              <xm:f>'Ratio Analysis'!B9:K9</xm:f>
              <xm:sqref>L9</xm:sqref>
            </x14:sparkline>
            <x14:sparkline>
              <xm:f>'Ratio Analysis'!B10:K10</xm:f>
              <xm:sqref>L10</xm:sqref>
            </x14:sparkline>
            <x14:sparkline>
              <xm:f>'Ratio Analysis'!B11:K11</xm:f>
              <xm:sqref>L11</xm:sqref>
            </x14:sparkline>
            <x14:sparkline>
              <xm:f>'Ratio Analysis'!B12:K12</xm:f>
              <xm:sqref>L12</xm:sqref>
            </x14:sparkline>
            <x14:sparkline>
              <xm:f>'Ratio Analysis'!B13:K13</xm:f>
              <xm:sqref>L13</xm:sqref>
            </x14:sparkline>
            <x14:sparkline>
              <xm:f>'Ratio Analysis'!B14:K14</xm:f>
              <xm:sqref>L14</xm:sqref>
            </x14:sparkline>
            <x14:sparkline>
              <xm:f>'Ratio Analysis'!B15:K15</xm:f>
              <xm:sqref>L15</xm:sqref>
            </x14:sparkline>
            <x14:sparkline>
              <xm:f>'Ratio Analysis'!B16:K16</xm:f>
              <xm:sqref>L16</xm:sqref>
            </x14:sparkline>
            <x14:sparkline>
              <xm:f>'Ratio Analysis'!B17:K17</xm:f>
              <xm:sqref>L17</xm:sqref>
            </x14:sparkline>
            <x14:sparkline>
              <xm:f>'Ratio Analysis'!B18:K18</xm:f>
              <xm:sqref>L18</xm:sqref>
            </x14:sparkline>
            <x14:sparkline>
              <xm:f>'Ratio Analysis'!B19:K19</xm:f>
              <xm:sqref>L19</xm:sqref>
            </x14:sparkline>
            <x14:sparkline>
              <xm:f>'Ratio Analysis'!B20:K20</xm:f>
              <xm:sqref>L20</xm:sqref>
            </x14:sparkline>
            <x14:sparkline>
              <xm:f>'Ratio Analysis'!B21:K21</xm:f>
              <xm:sqref>L21</xm:sqref>
            </x14:sparkline>
            <x14:sparkline>
              <xm:f>'Ratio Analysis'!B22:K22</xm:f>
              <xm:sqref>L22</xm:sqref>
            </x14:sparkline>
            <x14:sparkline>
              <xm:f>'Ratio Analysis'!B23:K23</xm:f>
              <xm:sqref>L23</xm:sqref>
            </x14:sparkline>
            <x14:sparkline>
              <xm:f>'Ratio Analysis'!B24:K24</xm:f>
              <xm:sqref>L24</xm:sqref>
            </x14:sparkline>
            <x14:sparkline>
              <xm:f>'Ratio Analysis'!B25:K25</xm:f>
              <xm:sqref>L25</xm:sqref>
            </x14:sparkline>
            <x14:sparkline>
              <xm:f>'Ratio Analysis'!B26:K26</xm:f>
              <xm:sqref>L26</xm:sqref>
            </x14:sparkline>
            <x14:sparkline>
              <xm:f>'Ratio Analysis'!B27:K27</xm:f>
              <xm:sqref>L27</xm:sqref>
            </x14:sparkline>
            <x14:sparkline>
              <xm:f>'Ratio Analysis'!B28:K28</xm:f>
              <xm:sqref>L28</xm:sqref>
            </x14:sparkline>
            <x14:sparkline>
              <xm:f>'Ratio Analysis'!B29:K29</xm:f>
              <xm:sqref>L29</xm:sqref>
            </x14:sparkline>
            <x14:sparkline>
              <xm:f>'Ratio Analysis'!B30:K30</xm:f>
              <xm:sqref>L30</xm:sqref>
            </x14:sparkline>
            <x14:sparkline>
              <xm:f>'Ratio Analysis'!B31:K31</xm:f>
              <xm:sqref>L31</xm:sqref>
            </x14:sparkline>
            <x14:sparkline>
              <xm:f>'Ratio Analysis'!B32:K32</xm:f>
              <xm:sqref>L32</xm:sqref>
            </x14:sparkline>
            <x14:sparkline>
              <xm:f>'Ratio Analysis'!B33:K33</xm:f>
              <xm:sqref>L33</xm:sqref>
            </x14:sparkline>
            <x14:sparkline>
              <xm:f>'Ratio Analysis'!B34:K34</xm:f>
              <xm:sqref>L34</xm:sqref>
            </x14:sparkline>
            <x14:sparkline>
              <xm:f>'Ratio Analysis'!B35:K35</xm:f>
              <xm:sqref>L35</xm:sqref>
            </x14:sparkline>
            <x14:sparkline>
              <xm:f>'Ratio Analysis'!B36:K36</xm:f>
              <xm:sqref>L36</xm:sqref>
            </x14:sparkline>
            <x14:sparkline>
              <xm:f>'Ratio Analysis'!B37:K37</xm:f>
              <xm:sqref>L37</xm:sqref>
            </x14:sparkline>
            <x14:sparkline>
              <xm:f>'Ratio Analysis'!B38:K38</xm:f>
              <xm:sqref>L38</xm:sqref>
            </x14:sparkline>
            <x14:sparkline>
              <xm:f>'Ratio Analysis'!B39:K39</xm:f>
              <xm:sqref>L39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E1EC-A591-8941-9B68-DEB473A6A9A4}">
  <dimension ref="B3:P43"/>
  <sheetViews>
    <sheetView showGridLines="0" topLeftCell="A19" zoomScale="86" zoomScaleNormal="86" workbookViewId="0">
      <selection activeCell="H35" sqref="H35"/>
    </sheetView>
  </sheetViews>
  <sheetFormatPr baseColWidth="10" defaultColWidth="10.83203125" defaultRowHeight="15" x14ac:dyDescent="0.2"/>
  <cols>
    <col min="1" max="1" width="1.83203125" customWidth="1"/>
    <col min="2" max="7" width="11" bestFit="1" customWidth="1"/>
    <col min="8" max="8" width="11" customWidth="1"/>
    <col min="9" max="9" width="11" bestFit="1" customWidth="1"/>
    <col min="10" max="11" width="11.5" bestFit="1" customWidth="1"/>
    <col min="12" max="13" width="11" bestFit="1" customWidth="1"/>
  </cols>
  <sheetData>
    <row r="3" spans="2:16" x14ac:dyDescent="0.2">
      <c r="D3" s="61">
        <v>41791</v>
      </c>
      <c r="E3" s="61">
        <v>42156</v>
      </c>
      <c r="F3" s="38" t="s">
        <v>196</v>
      </c>
      <c r="G3" s="61">
        <v>42795</v>
      </c>
      <c r="H3" s="61">
        <v>43160</v>
      </c>
      <c r="I3" s="61">
        <v>43525</v>
      </c>
      <c r="J3" s="61">
        <v>43891</v>
      </c>
      <c r="K3" s="61">
        <v>44256</v>
      </c>
      <c r="L3" s="61">
        <v>44621</v>
      </c>
      <c r="M3" s="61">
        <v>44986</v>
      </c>
      <c r="N3" s="61">
        <v>45352</v>
      </c>
      <c r="O3" s="61">
        <v>45717</v>
      </c>
      <c r="P3" s="38"/>
    </row>
    <row r="4" spans="2:16" x14ac:dyDescent="0.2">
      <c r="C4" s="62" t="s">
        <v>197</v>
      </c>
      <c r="D4" s="63">
        <v>32144</v>
      </c>
      <c r="E4" s="63">
        <v>36701</v>
      </c>
      <c r="F4" s="63">
        <v>31136</v>
      </c>
      <c r="G4" s="63">
        <v>47568</v>
      </c>
      <c r="H4" s="63">
        <v>50569</v>
      </c>
      <c r="I4" s="63">
        <v>60427</v>
      </c>
      <c r="J4" s="63">
        <v>70676</v>
      </c>
      <c r="K4" s="63">
        <v>75379</v>
      </c>
      <c r="L4" s="63">
        <v>85651</v>
      </c>
      <c r="M4" s="63">
        <v>101456</v>
      </c>
      <c r="N4" s="63">
        <v>109913</v>
      </c>
      <c r="O4" s="63">
        <v>117055</v>
      </c>
      <c r="P4" s="64"/>
    </row>
    <row r="8" spans="2:16" x14ac:dyDescent="0.2">
      <c r="B8" s="65" t="s">
        <v>198</v>
      </c>
      <c r="C8" s="65" t="s">
        <v>199</v>
      </c>
      <c r="D8" s="65" t="s">
        <v>6</v>
      </c>
      <c r="E8" s="65" t="s">
        <v>200</v>
      </c>
    </row>
    <row r="9" spans="2:16" x14ac:dyDescent="0.2">
      <c r="B9">
        <v>1</v>
      </c>
      <c r="C9" s="66">
        <f>D3</f>
        <v>41791</v>
      </c>
      <c r="D9" s="67">
        <v>32144</v>
      </c>
    </row>
    <row r="10" spans="2:16" x14ac:dyDescent="0.2">
      <c r="B10">
        <v>2</v>
      </c>
      <c r="C10" s="66">
        <f>C9+365</f>
        <v>42156</v>
      </c>
      <c r="D10" s="67">
        <v>36701</v>
      </c>
      <c r="E10" s="5">
        <f>D10/D9-1</f>
        <v>0.1417682926829269</v>
      </c>
    </row>
    <row r="11" spans="2:16" x14ac:dyDescent="0.2">
      <c r="B11">
        <v>3</v>
      </c>
      <c r="C11" s="66">
        <f t="shared" ref="C11:C25" si="0">C10+365</f>
        <v>42521</v>
      </c>
      <c r="D11" s="67">
        <v>31136</v>
      </c>
      <c r="E11" s="5">
        <f t="shared" ref="E11:E25" si="1">D11/D10-1</f>
        <v>-0.15163074575624647</v>
      </c>
    </row>
    <row r="12" spans="2:16" x14ac:dyDescent="0.2">
      <c r="B12">
        <v>4</v>
      </c>
      <c r="C12" s="66">
        <f t="shared" si="0"/>
        <v>42886</v>
      </c>
      <c r="D12" s="67">
        <v>47568</v>
      </c>
      <c r="E12" s="5">
        <f t="shared" si="1"/>
        <v>0.5277492291880781</v>
      </c>
    </row>
    <row r="13" spans="2:16" x14ac:dyDescent="0.2">
      <c r="B13">
        <v>5</v>
      </c>
      <c r="C13" s="66">
        <f t="shared" si="0"/>
        <v>43251</v>
      </c>
      <c r="D13" s="67">
        <v>50569</v>
      </c>
      <c r="E13" s="5">
        <f t="shared" si="1"/>
        <v>6.308863101244544E-2</v>
      </c>
      <c r="H13" t="s">
        <v>201</v>
      </c>
    </row>
    <row r="14" spans="2:16" ht="16" thickBot="1" x14ac:dyDescent="0.25">
      <c r="B14">
        <v>6</v>
      </c>
      <c r="C14" s="66">
        <f t="shared" si="0"/>
        <v>43616</v>
      </c>
      <c r="D14" s="67">
        <v>60427</v>
      </c>
      <c r="E14" s="5">
        <f t="shared" si="1"/>
        <v>0.19494156499040916</v>
      </c>
    </row>
    <row r="15" spans="2:16" x14ac:dyDescent="0.2">
      <c r="B15">
        <v>7</v>
      </c>
      <c r="C15" s="66">
        <f t="shared" si="0"/>
        <v>43981</v>
      </c>
      <c r="D15" s="67">
        <v>70676</v>
      </c>
      <c r="E15" s="5">
        <f t="shared" si="1"/>
        <v>0.16960961159746479</v>
      </c>
      <c r="H15" s="68" t="s">
        <v>202</v>
      </c>
      <c r="I15" s="68"/>
    </row>
    <row r="16" spans="2:16" x14ac:dyDescent="0.2">
      <c r="B16">
        <v>8</v>
      </c>
      <c r="C16" s="66">
        <f t="shared" si="0"/>
        <v>44346</v>
      </c>
      <c r="D16" s="67">
        <v>75379</v>
      </c>
      <c r="E16" s="5">
        <f t="shared" si="1"/>
        <v>6.6543098081385477E-2</v>
      </c>
      <c r="H16" t="s">
        <v>203</v>
      </c>
      <c r="I16">
        <v>0.98860795239004817</v>
      </c>
    </row>
    <row r="17" spans="2:16" x14ac:dyDescent="0.2">
      <c r="B17">
        <v>9</v>
      </c>
      <c r="C17" s="66">
        <f t="shared" si="0"/>
        <v>44711</v>
      </c>
      <c r="D17" s="67">
        <v>85651</v>
      </c>
      <c r="E17" s="5">
        <f t="shared" si="1"/>
        <v>0.13627137531673283</v>
      </c>
      <c r="H17" t="s">
        <v>204</v>
      </c>
      <c r="I17">
        <v>0.97734568352884377</v>
      </c>
    </row>
    <row r="18" spans="2:16" x14ac:dyDescent="0.2">
      <c r="B18">
        <v>10</v>
      </c>
      <c r="C18" s="66">
        <f t="shared" si="0"/>
        <v>45076</v>
      </c>
      <c r="D18" s="67">
        <v>101456</v>
      </c>
      <c r="E18" s="5">
        <f t="shared" si="1"/>
        <v>0.18452790977338274</v>
      </c>
      <c r="H18" t="s">
        <v>205</v>
      </c>
      <c r="I18">
        <v>0.97482853725427077</v>
      </c>
    </row>
    <row r="19" spans="2:16" x14ac:dyDescent="0.2">
      <c r="B19">
        <v>11</v>
      </c>
      <c r="C19" s="66">
        <f t="shared" si="0"/>
        <v>45441</v>
      </c>
      <c r="D19" s="67">
        <v>109913</v>
      </c>
      <c r="E19" s="5">
        <f t="shared" si="1"/>
        <v>8.3356331808863038E-2</v>
      </c>
      <c r="H19" t="s">
        <v>206</v>
      </c>
      <c r="I19">
        <v>4662.9065929899862</v>
      </c>
    </row>
    <row r="20" spans="2:16" ht="16" thickBot="1" x14ac:dyDescent="0.25">
      <c r="B20">
        <v>12</v>
      </c>
      <c r="C20" s="66">
        <f t="shared" si="0"/>
        <v>45806</v>
      </c>
      <c r="D20" s="67">
        <v>117055</v>
      </c>
      <c r="E20" s="5">
        <f t="shared" si="1"/>
        <v>6.4978664944092213E-2</v>
      </c>
      <c r="H20" s="69" t="s">
        <v>207</v>
      </c>
      <c r="I20" s="69">
        <v>11</v>
      </c>
    </row>
    <row r="21" spans="2:16" x14ac:dyDescent="0.2">
      <c r="B21">
        <v>13</v>
      </c>
      <c r="C21" s="70">
        <f t="shared" si="0"/>
        <v>46171</v>
      </c>
      <c r="D21" s="67">
        <f>$J$29+(B21*$J$30)</f>
        <v>9194.6450515335964</v>
      </c>
      <c r="E21" s="5">
        <f>D21/D20-1</f>
        <v>-0.92145021527031223</v>
      </c>
    </row>
    <row r="22" spans="2:16" ht="16" thickBot="1" x14ac:dyDescent="0.25">
      <c r="B22">
        <v>14</v>
      </c>
      <c r="C22" s="70">
        <f t="shared" si="0"/>
        <v>46536</v>
      </c>
      <c r="D22" s="67">
        <f t="shared" ref="D22:D25" si="2">$J$29+(B22*$J$30)</f>
        <v>9639.2357508898531</v>
      </c>
      <c r="E22" s="5">
        <f t="shared" si="1"/>
        <v>4.8353220473921654E-2</v>
      </c>
      <c r="H22" t="s">
        <v>208</v>
      </c>
    </row>
    <row r="23" spans="2:16" x14ac:dyDescent="0.2">
      <c r="B23">
        <v>15</v>
      </c>
      <c r="C23" s="70">
        <f t="shared" si="0"/>
        <v>46901</v>
      </c>
      <c r="D23" s="67">
        <f t="shared" si="2"/>
        <v>10083.826450246112</v>
      </c>
      <c r="E23" s="5">
        <f t="shared" si="1"/>
        <v>4.6123023738185553E-2</v>
      </c>
      <c r="H23" s="71"/>
      <c r="I23" s="71" t="s">
        <v>209</v>
      </c>
      <c r="J23" s="71" t="s">
        <v>210</v>
      </c>
      <c r="K23" s="71" t="s">
        <v>211</v>
      </c>
      <c r="L23" s="71" t="s">
        <v>212</v>
      </c>
      <c r="M23" s="71" t="s">
        <v>213</v>
      </c>
    </row>
    <row r="24" spans="2:16" x14ac:dyDescent="0.2">
      <c r="B24">
        <v>16</v>
      </c>
      <c r="C24" s="70">
        <f t="shared" si="0"/>
        <v>47266</v>
      </c>
      <c r="D24" s="67">
        <f t="shared" si="2"/>
        <v>10528.417149602368</v>
      </c>
      <c r="E24" s="5">
        <f t="shared" si="1"/>
        <v>4.4089483446574596E-2</v>
      </c>
      <c r="H24" t="s">
        <v>214</v>
      </c>
      <c r="I24">
        <v>1</v>
      </c>
      <c r="J24">
        <v>8442152190.5818186</v>
      </c>
      <c r="K24">
        <v>8442152190.5818186</v>
      </c>
      <c r="L24">
        <v>388.27528356280072</v>
      </c>
      <c r="M24">
        <v>1.0351982312495592E-8</v>
      </c>
    </row>
    <row r="25" spans="2:16" x14ac:dyDescent="0.2">
      <c r="B25">
        <v>17</v>
      </c>
      <c r="C25" s="70">
        <f t="shared" si="0"/>
        <v>47631</v>
      </c>
      <c r="D25" s="67">
        <f t="shared" si="2"/>
        <v>10973.007848958627</v>
      </c>
      <c r="E25" s="5">
        <f t="shared" si="1"/>
        <v>4.2227686559042743E-2</v>
      </c>
      <c r="H25" t="s">
        <v>215</v>
      </c>
      <c r="I25">
        <v>9</v>
      </c>
      <c r="J25">
        <v>195684281.05454528</v>
      </c>
      <c r="K25">
        <v>21742697.894949477</v>
      </c>
    </row>
    <row r="26" spans="2:16" ht="16" thickBot="1" x14ac:dyDescent="0.25">
      <c r="C26" s="70"/>
      <c r="D26" s="67"/>
      <c r="E26" s="5"/>
      <c r="H26" s="69" t="s">
        <v>26</v>
      </c>
      <c r="I26" s="69">
        <v>10</v>
      </c>
      <c r="J26" s="69">
        <v>8637836471.636364</v>
      </c>
      <c r="K26" s="69"/>
      <c r="L26" s="69"/>
      <c r="M26" s="69"/>
    </row>
    <row r="27" spans="2:16" ht="16" thickBot="1" x14ac:dyDescent="0.25">
      <c r="C27" s="70"/>
      <c r="D27" s="67"/>
      <c r="E27" s="5"/>
    </row>
    <row r="28" spans="2:16" x14ac:dyDescent="0.2">
      <c r="C28" s="70"/>
      <c r="D28" s="67"/>
      <c r="E28" s="5"/>
      <c r="H28" s="71"/>
      <c r="I28" s="71" t="s">
        <v>216</v>
      </c>
      <c r="J28" s="71" t="s">
        <v>206</v>
      </c>
      <c r="K28" s="71" t="s">
        <v>217</v>
      </c>
      <c r="L28" s="71" t="s">
        <v>218</v>
      </c>
      <c r="M28" s="71" t="s">
        <v>219</v>
      </c>
      <c r="N28" s="71" t="s">
        <v>220</v>
      </c>
      <c r="O28" s="71" t="s">
        <v>221</v>
      </c>
      <c r="P28" s="71" t="s">
        <v>222</v>
      </c>
    </row>
    <row r="29" spans="2:16" x14ac:dyDescent="0.2">
      <c r="C29" s="72"/>
      <c r="H29" t="s">
        <v>223</v>
      </c>
      <c r="I29">
        <v>10179.127272727274</v>
      </c>
      <c r="J29">
        <v>3414.9659599022484</v>
      </c>
      <c r="K29">
        <v>2.9807404794801076</v>
      </c>
      <c r="L29">
        <v>1.543102666968542E-2</v>
      </c>
      <c r="M29">
        <v>2453.9375658223535</v>
      </c>
      <c r="N29">
        <v>17904.316979632193</v>
      </c>
      <c r="O29">
        <v>2453.9375658223535</v>
      </c>
      <c r="P29">
        <v>17904.316979632193</v>
      </c>
    </row>
    <row r="30" spans="2:16" ht="16" thickBot="1" x14ac:dyDescent="0.25">
      <c r="C30" s="72"/>
      <c r="H30" s="69">
        <v>1</v>
      </c>
      <c r="I30" s="69">
        <v>8760.5272727272713</v>
      </c>
      <c r="J30" s="69">
        <v>444.59069935625752</v>
      </c>
      <c r="K30" s="69">
        <v>19.704702067344247</v>
      </c>
      <c r="L30" s="69">
        <v>1.035198231249563E-8</v>
      </c>
      <c r="M30" s="69">
        <v>7754.7932376650497</v>
      </c>
      <c r="N30" s="69">
        <v>9766.261307789493</v>
      </c>
      <c r="O30" s="69">
        <v>7754.7932376650497</v>
      </c>
      <c r="P30" s="69">
        <v>9766.261307789493</v>
      </c>
    </row>
    <row r="31" spans="2:16" x14ac:dyDescent="0.2">
      <c r="B31" t="s">
        <v>224</v>
      </c>
      <c r="C31" s="5">
        <f>AVERAGE(E10:E20)</f>
        <v>0.1346549057854122</v>
      </c>
    </row>
    <row r="32" spans="2:16" x14ac:dyDescent="0.2">
      <c r="B32" t="s">
        <v>225</v>
      </c>
      <c r="C32" s="5">
        <f>_xlfn.RRI(B20,D9,D20)</f>
        <v>0.11371526120403375</v>
      </c>
    </row>
    <row r="33" spans="2:8" x14ac:dyDescent="0.2">
      <c r="B33" t="s">
        <v>226</v>
      </c>
      <c r="C33" s="5">
        <f>_xlfn.STDEV.S(E10:E20)</f>
        <v>0.16159416330536727</v>
      </c>
    </row>
    <row r="35" spans="2:8" x14ac:dyDescent="0.2">
      <c r="H35" t="e">
        <f>FORECAST(B21,$D$19:$E$20,C9:C20)</f>
        <v>#N/A</v>
      </c>
    </row>
    <row r="39" spans="2:8" x14ac:dyDescent="0.2">
      <c r="B39">
        <v>13</v>
      </c>
      <c r="C39" s="70">
        <f t="shared" ref="C39:C43" si="3">C38+365</f>
        <v>365</v>
      </c>
      <c r="D39" s="67">
        <f>$J$29+(B39*$J$30)</f>
        <v>9194.6450515335964</v>
      </c>
      <c r="E39" s="5"/>
    </row>
    <row r="40" spans="2:8" x14ac:dyDescent="0.2">
      <c r="B40">
        <v>14</v>
      </c>
      <c r="C40" s="70">
        <f t="shared" si="3"/>
        <v>730</v>
      </c>
      <c r="D40" s="67">
        <f t="shared" ref="D40:D43" si="4">$J$29+(B40*$J$30)</f>
        <v>9639.2357508898531</v>
      </c>
      <c r="E40" s="5">
        <f t="shared" ref="E40:E43" si="5">D40/D39-1</f>
        <v>4.8353220473921654E-2</v>
      </c>
    </row>
    <row r="41" spans="2:8" x14ac:dyDescent="0.2">
      <c r="B41">
        <v>15</v>
      </c>
      <c r="C41" s="70">
        <f t="shared" si="3"/>
        <v>1095</v>
      </c>
      <c r="D41" s="67">
        <f t="shared" si="4"/>
        <v>10083.826450246112</v>
      </c>
      <c r="E41" s="5">
        <f t="shared" si="5"/>
        <v>4.6123023738185553E-2</v>
      </c>
    </row>
    <row r="42" spans="2:8" x14ac:dyDescent="0.2">
      <c r="B42">
        <v>16</v>
      </c>
      <c r="C42" s="70">
        <f t="shared" si="3"/>
        <v>1460</v>
      </c>
      <c r="D42" s="67">
        <f t="shared" si="4"/>
        <v>10528.417149602368</v>
      </c>
      <c r="E42" s="5">
        <f t="shared" si="5"/>
        <v>4.4089483446574596E-2</v>
      </c>
    </row>
    <row r="43" spans="2:8" x14ac:dyDescent="0.2">
      <c r="B43">
        <v>17</v>
      </c>
      <c r="C43" s="70">
        <f t="shared" si="3"/>
        <v>1825</v>
      </c>
      <c r="D43" s="67">
        <f t="shared" si="4"/>
        <v>10973.007848958627</v>
      </c>
      <c r="E43" s="5">
        <f t="shared" si="5"/>
        <v>4.2227686559042743E-2</v>
      </c>
    </row>
  </sheetData>
  <pageMargins left="0.7" right="0.7" top="0.75" bottom="0.75" header="0.3" footer="0.3"/>
  <ignoredErrors>
    <ignoredError sqref="H35" evalError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7713-9ACA-454F-8E39-5BE234301A14}">
  <dimension ref="A1:T107"/>
  <sheetViews>
    <sheetView zoomScale="65" zoomScaleNormal="65" workbookViewId="0">
      <selection activeCell="V38" sqref="V38"/>
    </sheetView>
  </sheetViews>
  <sheetFormatPr baseColWidth="10" defaultColWidth="10.83203125" defaultRowHeight="15" x14ac:dyDescent="0.2"/>
  <cols>
    <col min="1" max="1" width="14.83203125" customWidth="1"/>
    <col min="5" max="5" width="13.83203125" customWidth="1"/>
    <col min="9" max="9" width="19.33203125" customWidth="1"/>
    <col min="10" max="11" width="13.83203125" customWidth="1"/>
  </cols>
  <sheetData>
    <row r="1" spans="1:13" x14ac:dyDescent="0.2">
      <c r="D1" s="5"/>
    </row>
    <row r="2" spans="1:13" x14ac:dyDescent="0.2">
      <c r="B2" s="2" t="s">
        <v>230</v>
      </c>
      <c r="D2" s="5"/>
      <c r="F2" s="2" t="s">
        <v>334</v>
      </c>
    </row>
    <row r="3" spans="1:13" x14ac:dyDescent="0.2">
      <c r="A3" s="73" t="s">
        <v>227</v>
      </c>
      <c r="B3" s="73" t="s">
        <v>58</v>
      </c>
      <c r="C3" s="73" t="s">
        <v>228</v>
      </c>
      <c r="D3" s="16" t="s">
        <v>335</v>
      </c>
      <c r="E3" s="73"/>
      <c r="F3" s="73" t="s">
        <v>58</v>
      </c>
      <c r="G3" s="73" t="s">
        <v>228</v>
      </c>
      <c r="H3" s="73" t="s">
        <v>335</v>
      </c>
    </row>
    <row r="4" spans="1:13" x14ac:dyDescent="0.2">
      <c r="A4" s="73" t="s">
        <v>231</v>
      </c>
      <c r="B4" s="74">
        <v>1413.1</v>
      </c>
      <c r="C4" s="77">
        <v>9.9199999999999997E-2</v>
      </c>
      <c r="D4" s="5"/>
      <c r="E4" s="73"/>
      <c r="F4" s="78">
        <v>23960.25</v>
      </c>
      <c r="G4" s="79">
        <v>-1.61E-2</v>
      </c>
    </row>
    <row r="5" spans="1:13" x14ac:dyDescent="0.2">
      <c r="A5" s="73" t="s">
        <v>232</v>
      </c>
      <c r="B5" s="74">
        <v>1285.5999999999999</v>
      </c>
      <c r="C5" s="77">
        <v>2.9100000000000001E-2</v>
      </c>
      <c r="D5" s="5">
        <f>B5/B4-1</f>
        <v>-9.0227160144363494E-2</v>
      </c>
      <c r="E5" s="73"/>
      <c r="F5" s="74">
        <v>24353.55</v>
      </c>
      <c r="G5" s="77">
        <v>1.26E-2</v>
      </c>
      <c r="H5" s="5">
        <f>F5/F4-1</f>
        <v>1.641468682505387E-2</v>
      </c>
    </row>
    <row r="6" spans="1:13" x14ac:dyDescent="0.2">
      <c r="A6" s="73" t="s">
        <v>233</v>
      </c>
      <c r="B6" s="74">
        <v>1249.3</v>
      </c>
      <c r="C6" s="77">
        <v>4.87E-2</v>
      </c>
      <c r="D6" s="5">
        <f t="shared" ref="D6:D69" si="0">B6/B5-1</f>
        <v>-2.8235843186060983E-2</v>
      </c>
      <c r="E6" s="73"/>
      <c r="F6" s="74">
        <v>24050.6</v>
      </c>
      <c r="G6" s="77">
        <v>5.8900000000000001E-2</v>
      </c>
      <c r="H6" s="5">
        <f t="shared" ref="H6:H69" si="1">F6/F5-1</f>
        <v>-1.2439664853789334E-2</v>
      </c>
    </row>
    <row r="7" spans="1:13" x14ac:dyDescent="0.2">
      <c r="A7" s="73" t="s">
        <v>234</v>
      </c>
      <c r="B7" s="78">
        <v>1191.3</v>
      </c>
      <c r="C7" s="79">
        <v>-1.6000000000000001E-3</v>
      </c>
      <c r="D7" s="5">
        <f t="shared" si="0"/>
        <v>-4.642599855919316E-2</v>
      </c>
      <c r="E7" s="73"/>
      <c r="F7" s="78">
        <v>22713.1</v>
      </c>
      <c r="G7" s="79">
        <v>-4.7000000000000002E-3</v>
      </c>
      <c r="H7" s="5">
        <f t="shared" si="1"/>
        <v>-5.5611918205782818E-2</v>
      </c>
      <c r="I7" t="s">
        <v>403</v>
      </c>
      <c r="J7" s="5">
        <f>AVERAGE(G4:G107)</f>
        <v>8.1249999999999996E-4</v>
      </c>
      <c r="K7" s="5"/>
    </row>
    <row r="8" spans="1:13" ht="18" x14ac:dyDescent="0.2">
      <c r="A8" s="73" t="s">
        <v>235</v>
      </c>
      <c r="B8" s="78">
        <v>1193.2</v>
      </c>
      <c r="C8" s="79">
        <v>-2.9999999999999997E-4</v>
      </c>
      <c r="D8" s="5">
        <f t="shared" si="0"/>
        <v>1.5948963317384823E-3</v>
      </c>
      <c r="E8" s="73"/>
      <c r="F8" s="78">
        <v>22819.599999999999</v>
      </c>
      <c r="G8" s="79">
        <v>-1.2800000000000001E-2</v>
      </c>
      <c r="H8" s="5">
        <f t="shared" si="1"/>
        <v>4.6889240130145726E-3</v>
      </c>
      <c r="I8" t="s">
        <v>404</v>
      </c>
      <c r="J8" s="107">
        <v>1.2800000000000001E-2</v>
      </c>
      <c r="K8" s="106"/>
    </row>
    <row r="9" spans="1:13" x14ac:dyDescent="0.2">
      <c r="A9" s="73" t="s">
        <v>236</v>
      </c>
      <c r="B9" s="78">
        <v>1193.5999999999999</v>
      </c>
      <c r="C9" s="79">
        <v>-7.1999999999999998E-3</v>
      </c>
      <c r="D9" s="5">
        <f t="shared" si="0"/>
        <v>3.3523298692572645E-4</v>
      </c>
      <c r="E9" s="73"/>
      <c r="F9" s="78">
        <v>23114.5</v>
      </c>
      <c r="G9" s="79">
        <v>-1.6000000000000001E-3</v>
      </c>
      <c r="H9" s="5">
        <f t="shared" si="1"/>
        <v>1.2923101193710762E-2</v>
      </c>
      <c r="I9" t="s">
        <v>405</v>
      </c>
      <c r="J9" s="5">
        <f>SUM(J7:J8)</f>
        <v>1.3612500000000001E-2</v>
      </c>
      <c r="L9" t="s">
        <v>201</v>
      </c>
    </row>
    <row r="10" spans="1:13" ht="16" thickBot="1" x14ac:dyDescent="0.25">
      <c r="A10" s="73" t="s">
        <v>237</v>
      </c>
      <c r="B10" s="78">
        <v>1202.2</v>
      </c>
      <c r="C10" s="79">
        <v>-4.0099999999999997E-2</v>
      </c>
      <c r="D10" s="5">
        <f t="shared" si="0"/>
        <v>7.2050938337802073E-3</v>
      </c>
      <c r="E10" s="73"/>
      <c r="F10" s="78">
        <v>23151.1</v>
      </c>
      <c r="G10" s="79">
        <v>-5.3100000000000001E-2</v>
      </c>
      <c r="H10" s="5">
        <f t="shared" si="1"/>
        <v>1.5834216617274244E-3</v>
      </c>
    </row>
    <row r="11" spans="1:13" x14ac:dyDescent="0.2">
      <c r="A11" s="73" t="s">
        <v>238</v>
      </c>
      <c r="B11" s="78">
        <v>1252.4000000000001</v>
      </c>
      <c r="C11" s="79">
        <v>-3.04E-2</v>
      </c>
      <c r="D11" s="5">
        <f t="shared" si="0"/>
        <v>4.1756779238063535E-2</v>
      </c>
      <c r="E11" s="73"/>
      <c r="F11" s="78">
        <v>24450.45</v>
      </c>
      <c r="G11" s="79">
        <v>-2.8899999999999999E-2</v>
      </c>
      <c r="H11" s="5">
        <f t="shared" si="1"/>
        <v>5.6124762970226172E-2</v>
      </c>
      <c r="L11" s="68" t="s">
        <v>202</v>
      </c>
      <c r="M11" s="68"/>
    </row>
    <row r="12" spans="1:13" x14ac:dyDescent="0.2">
      <c r="A12" s="73" t="s">
        <v>239</v>
      </c>
      <c r="B12" s="78">
        <v>1291.7</v>
      </c>
      <c r="C12" s="79">
        <v>-1.6000000000000001E-3</v>
      </c>
      <c r="D12" s="5">
        <f t="shared" si="0"/>
        <v>3.1379750878313573E-2</v>
      </c>
      <c r="E12" s="73"/>
      <c r="F12" s="78">
        <v>25178.65</v>
      </c>
      <c r="G12" s="79">
        <v>-1.54E-2</v>
      </c>
      <c r="H12" s="5">
        <f t="shared" si="1"/>
        <v>2.9782682936305926E-2</v>
      </c>
      <c r="L12" t="s">
        <v>203</v>
      </c>
      <c r="M12">
        <v>0.4858525519928823</v>
      </c>
    </row>
    <row r="13" spans="1:13" x14ac:dyDescent="0.2">
      <c r="A13" s="73" t="s">
        <v>240</v>
      </c>
      <c r="B13" s="74">
        <v>1293.8</v>
      </c>
      <c r="C13" s="77">
        <v>8.6999999999999994E-3</v>
      </c>
      <c r="D13" s="5">
        <f t="shared" si="0"/>
        <v>1.6257644963999507E-3</v>
      </c>
      <c r="E13" s="73"/>
      <c r="F13" s="74">
        <v>25571.25</v>
      </c>
      <c r="G13" s="77">
        <v>3.8999999999999998E-3</v>
      </c>
      <c r="H13" s="5">
        <f t="shared" si="1"/>
        <v>1.5592575455792845E-2</v>
      </c>
      <c r="L13" t="s">
        <v>204</v>
      </c>
      <c r="M13">
        <v>0.23605270227799638</v>
      </c>
    </row>
    <row r="14" spans="1:13" x14ac:dyDescent="0.2">
      <c r="A14" s="73" t="s">
        <v>241</v>
      </c>
      <c r="B14" s="78">
        <v>1282.5999999999999</v>
      </c>
      <c r="C14" s="79">
        <v>-1.5900000000000001E-2</v>
      </c>
      <c r="D14" s="5">
        <f t="shared" si="0"/>
        <v>-8.65667027361261E-3</v>
      </c>
      <c r="E14" s="73"/>
      <c r="F14" s="78">
        <v>25471.1</v>
      </c>
      <c r="G14" s="79">
        <v>-8.6999999999999994E-3</v>
      </c>
      <c r="H14" s="5">
        <f t="shared" si="1"/>
        <v>-3.9165077968421613E-3</v>
      </c>
      <c r="L14" t="s">
        <v>205</v>
      </c>
      <c r="M14">
        <v>0.22848886764708543</v>
      </c>
    </row>
    <row r="15" spans="1:13" x14ac:dyDescent="0.2">
      <c r="A15" s="73" t="s">
        <v>229</v>
      </c>
      <c r="B15" s="78">
        <v>1303.3</v>
      </c>
      <c r="C15" s="79">
        <v>-2.18E-2</v>
      </c>
      <c r="D15" s="5">
        <f t="shared" si="0"/>
        <v>1.6139092468423488E-2</v>
      </c>
      <c r="E15" s="73"/>
      <c r="F15" s="74">
        <v>25693.7</v>
      </c>
      <c r="G15" s="77">
        <v>1.47E-2</v>
      </c>
      <c r="H15" s="5">
        <f t="shared" si="1"/>
        <v>8.7393163232056814E-3</v>
      </c>
      <c r="L15" t="s">
        <v>206</v>
      </c>
      <c r="M15">
        <v>2.5674911554380602E-2</v>
      </c>
    </row>
    <row r="16" spans="1:13" ht="16" thickBot="1" x14ac:dyDescent="0.25">
      <c r="A16" s="73" t="s">
        <v>242</v>
      </c>
      <c r="B16" s="74">
        <v>1332.4</v>
      </c>
      <c r="C16" s="77">
        <v>2.98E-2</v>
      </c>
      <c r="D16" s="5">
        <f t="shared" si="0"/>
        <v>2.2327936775876633E-2</v>
      </c>
      <c r="E16" s="73"/>
      <c r="F16" s="74">
        <v>25320.65</v>
      </c>
      <c r="G16" s="77">
        <v>1.09E-2</v>
      </c>
      <c r="H16" s="5">
        <f t="shared" si="1"/>
        <v>-1.4519123364871489E-2</v>
      </c>
      <c r="L16" s="69" t="s">
        <v>207</v>
      </c>
      <c r="M16" s="69">
        <v>103</v>
      </c>
    </row>
    <row r="17" spans="1:20" x14ac:dyDescent="0.2">
      <c r="A17" s="73" t="s">
        <v>243</v>
      </c>
      <c r="B17" s="78">
        <v>1293.8</v>
      </c>
      <c r="C17" s="79">
        <v>-1.6799999999999999E-2</v>
      </c>
      <c r="D17" s="5">
        <f t="shared" si="0"/>
        <v>-2.8970279195436932E-2</v>
      </c>
      <c r="E17" s="73"/>
      <c r="F17" s="78">
        <v>25048.65</v>
      </c>
      <c r="G17" s="79">
        <v>-2.5100000000000001E-2</v>
      </c>
      <c r="H17" s="5">
        <f t="shared" si="1"/>
        <v>-1.0742220282654702E-2</v>
      </c>
    </row>
    <row r="18" spans="1:20" ht="16" thickBot="1" x14ac:dyDescent="0.25">
      <c r="A18" s="73" t="s">
        <v>244</v>
      </c>
      <c r="B18" s="74">
        <v>1315.9</v>
      </c>
      <c r="C18" s="77">
        <v>1.29E-2</v>
      </c>
      <c r="D18" s="5">
        <f t="shared" si="0"/>
        <v>1.7081465450610622E-2</v>
      </c>
      <c r="E18" s="73"/>
      <c r="F18" s="74">
        <v>25694.35</v>
      </c>
      <c r="G18" s="77">
        <v>4.0000000000000002E-4</v>
      </c>
      <c r="H18" s="5">
        <f t="shared" si="1"/>
        <v>2.5777836330500792E-2</v>
      </c>
      <c r="L18" t="s">
        <v>208</v>
      </c>
    </row>
    <row r="19" spans="1:20" x14ac:dyDescent="0.2">
      <c r="A19" s="73" t="s">
        <v>245</v>
      </c>
      <c r="B19" s="74">
        <v>1299.0999999999999</v>
      </c>
      <c r="C19" s="77">
        <v>1.52E-2</v>
      </c>
      <c r="D19" s="5">
        <f t="shared" si="0"/>
        <v>-1.276692757808362E-2</v>
      </c>
      <c r="E19" s="73"/>
      <c r="F19" s="78">
        <v>25683.3</v>
      </c>
      <c r="G19" s="79">
        <v>-2.4500000000000001E-2</v>
      </c>
      <c r="H19" s="5">
        <f t="shared" si="1"/>
        <v>-4.3005563479903142E-4</v>
      </c>
      <c r="L19" s="71"/>
      <c r="M19" s="71" t="s">
        <v>209</v>
      </c>
      <c r="N19" s="71" t="s">
        <v>210</v>
      </c>
      <c r="O19" s="71" t="s">
        <v>211</v>
      </c>
      <c r="P19" s="71" t="s">
        <v>212</v>
      </c>
      <c r="Q19" s="71" t="s">
        <v>213</v>
      </c>
    </row>
    <row r="20" spans="1:20" x14ac:dyDescent="0.2">
      <c r="A20" s="73" t="s">
        <v>246</v>
      </c>
      <c r="B20" s="74">
        <v>1279.7</v>
      </c>
      <c r="C20" s="77">
        <v>5.5999999999999999E-3</v>
      </c>
      <c r="D20" s="5">
        <f t="shared" si="0"/>
        <v>-1.4933415441459319E-2</v>
      </c>
      <c r="E20" s="73"/>
      <c r="F20" s="74">
        <v>26328.55</v>
      </c>
      <c r="G20" s="77">
        <v>1.0999999999999999E-2</v>
      </c>
      <c r="H20" s="5">
        <f t="shared" si="1"/>
        <v>2.5123329167201947E-2</v>
      </c>
      <c r="L20" t="s">
        <v>214</v>
      </c>
      <c r="M20">
        <v>1</v>
      </c>
      <c r="N20">
        <v>2.0572395439159924E-2</v>
      </c>
      <c r="O20">
        <v>2.0572395439159924E-2</v>
      </c>
      <c r="P20">
        <v>31.208072862054113</v>
      </c>
      <c r="Q20">
        <v>1.9686732249508974E-7</v>
      </c>
    </row>
    <row r="21" spans="1:20" x14ac:dyDescent="0.2">
      <c r="A21" s="73" t="s">
        <v>247</v>
      </c>
      <c r="B21" s="74">
        <v>1272.5999999999999</v>
      </c>
      <c r="C21" s="77">
        <v>2.2700000000000001E-2</v>
      </c>
      <c r="D21" s="5">
        <f t="shared" si="0"/>
        <v>-5.5481753535986389E-3</v>
      </c>
      <c r="E21" s="73"/>
      <c r="F21" s="74">
        <v>26042.3</v>
      </c>
      <c r="G21" s="77">
        <v>2.8999999999999998E-3</v>
      </c>
      <c r="H21" s="5">
        <f t="shared" si="1"/>
        <v>-1.0872228056615363E-2</v>
      </c>
      <c r="L21" t="s">
        <v>215</v>
      </c>
      <c r="M21">
        <v>101</v>
      </c>
      <c r="N21">
        <v>6.6579309415851926E-2</v>
      </c>
      <c r="O21">
        <v>6.592010833252666E-4</v>
      </c>
    </row>
    <row r="22" spans="1:20" ht="16" thickBot="1" x14ac:dyDescent="0.25">
      <c r="A22" s="73" t="s">
        <v>248</v>
      </c>
      <c r="B22" s="74">
        <v>1244.4000000000001</v>
      </c>
      <c r="C22" s="77">
        <v>4.8999999999999998E-3</v>
      </c>
      <c r="D22" s="5">
        <f t="shared" si="0"/>
        <v>-2.2159358793021999E-2</v>
      </c>
      <c r="E22" s="73"/>
      <c r="F22" s="78">
        <v>25966.400000000001</v>
      </c>
      <c r="G22" s="79">
        <v>-3.0999999999999999E-3</v>
      </c>
      <c r="H22" s="5">
        <f t="shared" si="1"/>
        <v>-2.9144891196245526E-3</v>
      </c>
      <c r="L22" s="69" t="s">
        <v>26</v>
      </c>
      <c r="M22" s="69">
        <v>102</v>
      </c>
      <c r="N22" s="69">
        <v>8.7151704855011849E-2</v>
      </c>
      <c r="O22" s="69"/>
      <c r="P22" s="69"/>
      <c r="Q22" s="69"/>
    </row>
    <row r="23" spans="1:20" ht="16" thickBot="1" x14ac:dyDescent="0.25">
      <c r="A23" s="73" t="s">
        <v>249</v>
      </c>
      <c r="B23" s="78">
        <v>1238.3</v>
      </c>
      <c r="C23" s="79">
        <v>-6.8999999999999999E-3</v>
      </c>
      <c r="D23" s="5">
        <f t="shared" si="0"/>
        <v>-4.9019607843138191E-3</v>
      </c>
      <c r="E23" s="73"/>
      <c r="F23" s="78">
        <v>26046.95</v>
      </c>
      <c r="G23" s="79">
        <v>-5.3E-3</v>
      </c>
      <c r="H23" s="5">
        <f t="shared" si="1"/>
        <v>3.10208577238269E-3</v>
      </c>
    </row>
    <row r="24" spans="1:20" x14ac:dyDescent="0.2">
      <c r="A24" s="73" t="s">
        <v>250</v>
      </c>
      <c r="B24" s="78">
        <v>1246.9000000000001</v>
      </c>
      <c r="C24" s="79">
        <v>-1.1299999999999999E-2</v>
      </c>
      <c r="D24" s="5">
        <f t="shared" si="0"/>
        <v>6.9450052491319969E-3</v>
      </c>
      <c r="E24" s="73"/>
      <c r="F24" s="78">
        <v>26186.45</v>
      </c>
      <c r="G24" s="79">
        <v>-5.9999999999999995E-4</v>
      </c>
      <c r="H24" s="5">
        <f t="shared" si="1"/>
        <v>5.3557134328587885E-3</v>
      </c>
      <c r="L24" s="71"/>
      <c r="M24" s="71" t="s">
        <v>216</v>
      </c>
      <c r="N24" s="71" t="s">
        <v>206</v>
      </c>
      <c r="O24" s="71" t="s">
        <v>217</v>
      </c>
      <c r="P24" s="71" t="s">
        <v>218</v>
      </c>
      <c r="Q24" s="71" t="s">
        <v>219</v>
      </c>
      <c r="R24" s="71" t="s">
        <v>220</v>
      </c>
      <c r="S24" s="71" t="s">
        <v>221</v>
      </c>
      <c r="T24" s="71" t="s">
        <v>222</v>
      </c>
    </row>
    <row r="25" spans="1:20" x14ac:dyDescent="0.2">
      <c r="A25" s="73" t="s">
        <v>251</v>
      </c>
      <c r="B25" s="78">
        <v>1261.0999999999999</v>
      </c>
      <c r="C25" s="79">
        <v>-1.5299999999999999E-2</v>
      </c>
      <c r="D25" s="5">
        <f t="shared" si="0"/>
        <v>1.1388242842248708E-2</v>
      </c>
      <c r="E25" s="73"/>
      <c r="F25" s="74">
        <v>26202.95</v>
      </c>
      <c r="G25" s="77">
        <v>5.1999999999999998E-3</v>
      </c>
      <c r="H25" s="5">
        <f t="shared" si="1"/>
        <v>6.3009686307236024E-4</v>
      </c>
      <c r="L25" t="s">
        <v>223</v>
      </c>
      <c r="M25">
        <v>-6.0008712828777799E-4</v>
      </c>
      <c r="N25">
        <v>2.5305439405082283E-3</v>
      </c>
      <c r="O25">
        <v>-0.23713760456072458</v>
      </c>
      <c r="P25">
        <v>0.81303037178467252</v>
      </c>
      <c r="Q25">
        <v>-5.6200055974153932E-3</v>
      </c>
      <c r="R25">
        <v>4.4198313408398372E-3</v>
      </c>
      <c r="S25">
        <v>-5.6200055974153932E-3</v>
      </c>
      <c r="T25">
        <v>4.4198313408398372E-3</v>
      </c>
    </row>
    <row r="26" spans="1:20" ht="16" thickBot="1" x14ac:dyDescent="0.25">
      <c r="A26" s="73" t="s">
        <v>252</v>
      </c>
      <c r="B26" s="74">
        <v>1280.7</v>
      </c>
      <c r="C26" s="77">
        <v>7.1999999999999998E-3</v>
      </c>
      <c r="D26" s="5">
        <f t="shared" si="0"/>
        <v>1.5541987154071846E-2</v>
      </c>
      <c r="E26" s="73"/>
      <c r="F26" s="74">
        <v>26068.15</v>
      </c>
      <c r="G26" s="77">
        <v>6.1000000000000004E-3</v>
      </c>
      <c r="H26" s="5">
        <f t="shared" si="1"/>
        <v>-5.144458925426254E-3</v>
      </c>
      <c r="L26" s="69" t="s">
        <v>336</v>
      </c>
      <c r="M26" s="69">
        <v>0.75565254189856446</v>
      </c>
      <c r="N26" s="69">
        <v>0.13526600760596047</v>
      </c>
      <c r="O26" s="69">
        <v>5.5864186078429565</v>
      </c>
      <c r="P26" s="69">
        <v>1.9686732249509591E-7</v>
      </c>
      <c r="Q26" s="69">
        <v>0.48732116896459204</v>
      </c>
      <c r="R26" s="69">
        <v>1.0239839148325369</v>
      </c>
      <c r="S26" s="69">
        <v>0.48732116896459204</v>
      </c>
      <c r="T26" s="69">
        <v>1.0239839148325369</v>
      </c>
    </row>
    <row r="27" spans="1:20" x14ac:dyDescent="0.2">
      <c r="A27" s="73" t="s">
        <v>253</v>
      </c>
      <c r="B27" s="74">
        <v>1271.5999999999999</v>
      </c>
      <c r="C27" s="77">
        <v>7.0000000000000001E-3</v>
      </c>
      <c r="D27" s="5">
        <f t="shared" si="0"/>
        <v>-7.105489185601721E-3</v>
      </c>
      <c r="E27" s="73"/>
      <c r="F27" s="74">
        <v>25910.05</v>
      </c>
      <c r="G27" s="77">
        <v>1.6400000000000001E-2</v>
      </c>
      <c r="H27" s="5">
        <f t="shared" si="1"/>
        <v>-6.0648722674989664E-3</v>
      </c>
    </row>
    <row r="28" spans="1:20" x14ac:dyDescent="0.2">
      <c r="A28" s="73" t="s">
        <v>254</v>
      </c>
      <c r="B28" s="78">
        <v>1262.7</v>
      </c>
      <c r="C28" s="79">
        <v>-7.0000000000000001E-3</v>
      </c>
      <c r="D28" s="5">
        <f t="shared" si="0"/>
        <v>-6.9990563070146949E-3</v>
      </c>
      <c r="E28" s="73"/>
      <c r="F28" s="78">
        <v>25492.3</v>
      </c>
      <c r="G28" s="79">
        <v>-8.8999999999999999E-3</v>
      </c>
      <c r="H28" s="5">
        <f t="shared" si="1"/>
        <v>-1.6123087373432266E-2</v>
      </c>
    </row>
    <row r="29" spans="1:20" x14ac:dyDescent="0.2">
      <c r="A29" s="73" t="s">
        <v>255</v>
      </c>
      <c r="B29" s="78">
        <v>1271.5999999999999</v>
      </c>
      <c r="C29" s="79">
        <v>-8.0999999999999996E-3</v>
      </c>
      <c r="D29" s="5">
        <f t="shared" si="0"/>
        <v>7.048388374118808E-3</v>
      </c>
      <c r="E29" s="73"/>
      <c r="F29" s="78">
        <v>25722.1</v>
      </c>
      <c r="G29" s="79">
        <v>-2.8E-3</v>
      </c>
      <c r="H29" s="5">
        <f t="shared" si="1"/>
        <v>9.0144867273647122E-3</v>
      </c>
    </row>
    <row r="30" spans="1:20" x14ac:dyDescent="0.2">
      <c r="A30" s="73" t="s">
        <v>256</v>
      </c>
      <c r="B30" s="78">
        <v>1282</v>
      </c>
      <c r="C30" s="79">
        <v>-5.7999999999999996E-3</v>
      </c>
      <c r="D30" s="5">
        <f t="shared" si="0"/>
        <v>8.1786725385342152E-3</v>
      </c>
      <c r="E30" s="73"/>
      <c r="F30" s="74">
        <v>25795.15</v>
      </c>
      <c r="G30" s="77">
        <v>3.3E-3</v>
      </c>
      <c r="H30" s="5">
        <f t="shared" si="1"/>
        <v>2.839970297915162E-3</v>
      </c>
      <c r="J30" s="83" t="s">
        <v>357</v>
      </c>
      <c r="K30" s="83"/>
      <c r="L30" s="83">
        <f>SLOPE(D5:D107,H5:H107)</f>
        <v>0.75565254189856446</v>
      </c>
    </row>
    <row r="31" spans="1:20" x14ac:dyDescent="0.2">
      <c r="A31" s="73" t="s">
        <v>257</v>
      </c>
      <c r="B31" s="74">
        <v>1289.5</v>
      </c>
      <c r="C31" s="77">
        <v>7.4999999999999997E-2</v>
      </c>
      <c r="D31" s="5">
        <f t="shared" si="0"/>
        <v>5.8502340093604666E-3</v>
      </c>
      <c r="E31" s="73"/>
      <c r="F31" s="74">
        <v>25709.85</v>
      </c>
      <c r="G31" s="77">
        <v>1.6799999999999999E-2</v>
      </c>
      <c r="H31" s="5">
        <f t="shared" si="1"/>
        <v>-3.3068231818773608E-3</v>
      </c>
      <c r="J31" s="83"/>
      <c r="K31" s="83"/>
      <c r="L31" s="83"/>
    </row>
    <row r="32" spans="1:20" x14ac:dyDescent="0.2">
      <c r="A32" s="73" t="s">
        <v>258</v>
      </c>
      <c r="B32" s="74">
        <v>1199.5</v>
      </c>
      <c r="C32" s="77">
        <v>2.53E-2</v>
      </c>
      <c r="D32" s="5">
        <f t="shared" si="0"/>
        <v>-6.9794493989918549E-2</v>
      </c>
      <c r="E32" s="73"/>
      <c r="F32" s="74">
        <v>25285.35</v>
      </c>
      <c r="G32" s="77">
        <v>1.5699999999999999E-2</v>
      </c>
      <c r="H32" s="5">
        <f t="shared" si="1"/>
        <v>-1.6511181512144146E-2</v>
      </c>
      <c r="J32" s="83"/>
      <c r="K32" s="83"/>
      <c r="L32" s="83"/>
    </row>
    <row r="33" spans="1:12" x14ac:dyDescent="0.2">
      <c r="A33" s="73" t="s">
        <v>259</v>
      </c>
      <c r="B33" s="74">
        <v>1169.9000000000001</v>
      </c>
      <c r="C33" s="77">
        <v>6.3E-3</v>
      </c>
      <c r="D33" s="5">
        <f t="shared" si="0"/>
        <v>-2.4676948728636905E-2</v>
      </c>
      <c r="E33" s="73"/>
      <c r="F33" s="74">
        <v>24894.25</v>
      </c>
      <c r="G33" s="77">
        <v>9.7000000000000003E-3</v>
      </c>
      <c r="H33" s="5">
        <f t="shared" si="1"/>
        <v>-1.5467454474626607E-2</v>
      </c>
      <c r="J33" s="83"/>
      <c r="K33" s="83"/>
      <c r="L33" s="83"/>
    </row>
    <row r="34" spans="1:12" x14ac:dyDescent="0.2">
      <c r="A34" s="73" t="s">
        <v>260</v>
      </c>
      <c r="B34" s="78">
        <v>1162.5999999999999</v>
      </c>
      <c r="C34" s="79">
        <v>-2.6700000000000002E-2</v>
      </c>
      <c r="D34" s="5">
        <f t="shared" si="0"/>
        <v>-6.2398495597916215E-3</v>
      </c>
      <c r="E34" s="73"/>
      <c r="F34" s="78">
        <v>24654.7</v>
      </c>
      <c r="G34" s="79">
        <v>-2.6499999999999999E-2</v>
      </c>
      <c r="H34" s="5">
        <f t="shared" si="1"/>
        <v>-9.6227040380810758E-3</v>
      </c>
      <c r="J34" s="83"/>
      <c r="K34" s="83"/>
      <c r="L34" s="83"/>
    </row>
    <row r="35" spans="1:12" x14ac:dyDescent="0.2">
      <c r="A35" s="73" t="s">
        <v>261</v>
      </c>
      <c r="B35" s="78">
        <v>1194.5</v>
      </c>
      <c r="C35" s="79">
        <v>-1.9E-2</v>
      </c>
      <c r="D35" s="5">
        <f t="shared" si="0"/>
        <v>2.7438499913986059E-2</v>
      </c>
      <c r="E35" s="73"/>
      <c r="F35" s="74">
        <v>25327.05</v>
      </c>
      <c r="G35" s="77">
        <v>8.5000000000000006E-3</v>
      </c>
      <c r="H35" s="5">
        <f t="shared" si="1"/>
        <v>2.7270662388915623E-2</v>
      </c>
      <c r="J35" s="83"/>
      <c r="K35" s="83"/>
      <c r="L35" s="83"/>
    </row>
    <row r="36" spans="1:12" x14ac:dyDescent="0.2">
      <c r="A36" s="73" t="s">
        <v>262</v>
      </c>
      <c r="B36" s="74">
        <v>1217.5999999999999</v>
      </c>
      <c r="C36" s="77">
        <v>7.4999999999999997E-3</v>
      </c>
      <c r="D36" s="5">
        <f t="shared" si="0"/>
        <v>1.9338635412306404E-2</v>
      </c>
      <c r="E36" s="73"/>
      <c r="F36" s="74">
        <v>25114</v>
      </c>
      <c r="G36" s="77">
        <v>1.5100000000000001E-2</v>
      </c>
      <c r="H36" s="5">
        <f t="shared" si="1"/>
        <v>-8.4119548072120187E-3</v>
      </c>
      <c r="J36" s="83"/>
      <c r="K36" s="83"/>
      <c r="L36" s="83"/>
    </row>
    <row r="37" spans="1:12" x14ac:dyDescent="0.2">
      <c r="A37" s="73" t="s">
        <v>263</v>
      </c>
      <c r="B37" s="74">
        <v>1208.5</v>
      </c>
      <c r="C37" s="77">
        <v>4.5199999999999997E-2</v>
      </c>
      <c r="D37" s="5">
        <f t="shared" si="0"/>
        <v>-7.4737187910642877E-3</v>
      </c>
      <c r="E37" s="73"/>
      <c r="F37" s="74">
        <v>24741</v>
      </c>
      <c r="G37" s="77">
        <v>1.29E-2</v>
      </c>
      <c r="H37" s="5">
        <f t="shared" si="1"/>
        <v>-1.4852273632236956E-2</v>
      </c>
      <c r="J37" s="83"/>
      <c r="K37" s="83"/>
      <c r="L37" s="83"/>
    </row>
    <row r="38" spans="1:12" x14ac:dyDescent="0.2">
      <c r="A38" s="73" t="s">
        <v>264</v>
      </c>
      <c r="B38" s="78">
        <v>1156.2</v>
      </c>
      <c r="C38" s="79">
        <v>-5.7999999999999996E-3</v>
      </c>
      <c r="D38" s="5">
        <f t="shared" si="0"/>
        <v>-4.3276789408357441E-2</v>
      </c>
      <c r="E38" s="73"/>
      <c r="F38" s="78">
        <v>24426.85</v>
      </c>
      <c r="G38" s="79">
        <v>-1.78E-2</v>
      </c>
      <c r="H38" s="5">
        <f t="shared" si="1"/>
        <v>-1.2697546582595698E-2</v>
      </c>
    </row>
    <row r="39" spans="1:12" x14ac:dyDescent="0.2">
      <c r="A39" s="73" t="s">
        <v>265</v>
      </c>
      <c r="B39" s="74">
        <v>1162.9000000000001</v>
      </c>
      <c r="C39" s="77">
        <v>6.7500000000000004E-2</v>
      </c>
      <c r="D39" s="5">
        <f t="shared" si="0"/>
        <v>5.7948451824945124E-3</v>
      </c>
      <c r="E39" s="73"/>
      <c r="F39" s="74">
        <v>24870.1</v>
      </c>
      <c r="G39" s="77">
        <v>9.7000000000000003E-3</v>
      </c>
      <c r="H39" s="5">
        <f t="shared" si="1"/>
        <v>1.8146015552557904E-2</v>
      </c>
    </row>
    <row r="40" spans="1:12" x14ac:dyDescent="0.2">
      <c r="A40" s="73" t="s">
        <v>266</v>
      </c>
      <c r="B40" s="78">
        <v>1089.4000000000001</v>
      </c>
      <c r="C40" s="79">
        <v>-6.4999999999999997E-3</v>
      </c>
      <c r="D40" s="5">
        <f t="shared" si="0"/>
        <v>-6.3204058818471021E-2</v>
      </c>
      <c r="E40" s="73"/>
      <c r="F40" s="74">
        <v>24631.3</v>
      </c>
      <c r="G40" s="77">
        <v>1.0999999999999999E-2</v>
      </c>
      <c r="H40" s="5">
        <f t="shared" si="1"/>
        <v>-9.6018914278591661E-3</v>
      </c>
    </row>
    <row r="41" spans="1:12" x14ac:dyDescent="0.2">
      <c r="A41" s="73" t="s">
        <v>267</v>
      </c>
      <c r="B41" s="78">
        <v>1096.5</v>
      </c>
      <c r="C41" s="79">
        <v>-3.6700000000000003E-2</v>
      </c>
      <c r="D41" s="5">
        <f t="shared" si="0"/>
        <v>6.517348999449224E-3</v>
      </c>
      <c r="E41" s="73"/>
      <c r="F41" s="78">
        <v>24363.3</v>
      </c>
      <c r="G41" s="79">
        <v>-8.2000000000000007E-3</v>
      </c>
      <c r="H41" s="5">
        <f t="shared" si="1"/>
        <v>-1.0880465099284198E-2</v>
      </c>
    </row>
    <row r="42" spans="1:12" x14ac:dyDescent="0.2">
      <c r="A42" s="73" t="s">
        <v>268</v>
      </c>
      <c r="B42" s="74">
        <v>1138.25</v>
      </c>
      <c r="C42" s="77">
        <v>8.0000000000000004E-4</v>
      </c>
      <c r="D42" s="5">
        <f t="shared" si="0"/>
        <v>3.8075695394436782E-2</v>
      </c>
      <c r="E42" s="73"/>
      <c r="F42" s="78">
        <v>24565.35</v>
      </c>
      <c r="G42" s="79">
        <v>-1.09E-2</v>
      </c>
      <c r="H42" s="5">
        <f t="shared" si="1"/>
        <v>8.2932115107559046E-3</v>
      </c>
    </row>
    <row r="43" spans="1:12" x14ac:dyDescent="0.2">
      <c r="A43" s="73" t="s">
        <v>269</v>
      </c>
      <c r="B43" s="78">
        <v>1137.3</v>
      </c>
      <c r="C43" s="79">
        <v>-7.9899999999999999E-2</v>
      </c>
      <c r="D43" s="5">
        <f t="shared" si="0"/>
        <v>-8.3461453986388712E-4</v>
      </c>
      <c r="E43" s="73"/>
      <c r="F43" s="78">
        <v>24837</v>
      </c>
      <c r="G43" s="79">
        <v>-5.3E-3</v>
      </c>
      <c r="H43" s="5">
        <f t="shared" si="1"/>
        <v>1.1058258889045103E-2</v>
      </c>
    </row>
    <row r="44" spans="1:12" x14ac:dyDescent="0.2">
      <c r="A44" s="73" t="s">
        <v>270</v>
      </c>
      <c r="B44" s="74">
        <v>1236.0999999999999</v>
      </c>
      <c r="C44" s="77">
        <v>2.86E-2</v>
      </c>
      <c r="D44" s="5">
        <f t="shared" si="0"/>
        <v>8.6872417128286195E-2</v>
      </c>
      <c r="E44" s="73"/>
      <c r="F44" s="78">
        <v>24968.400000000001</v>
      </c>
      <c r="G44" s="79">
        <v>-7.1999999999999998E-3</v>
      </c>
      <c r="H44" s="5">
        <f t="shared" si="1"/>
        <v>5.2904940210170004E-3</v>
      </c>
    </row>
    <row r="45" spans="1:12" x14ac:dyDescent="0.2">
      <c r="A45" s="73" t="s">
        <v>271</v>
      </c>
      <c r="B45" s="74">
        <v>1201.75</v>
      </c>
      <c r="C45" s="77">
        <v>4.4999999999999997E-3</v>
      </c>
      <c r="D45" s="5">
        <f t="shared" si="0"/>
        <v>-2.7789013833832144E-2</v>
      </c>
      <c r="E45" s="73"/>
      <c r="F45" s="78">
        <v>25149.85</v>
      </c>
      <c r="G45" s="79">
        <v>-1.2200000000000001E-2</v>
      </c>
      <c r="H45" s="5">
        <f t="shared" si="1"/>
        <v>7.267185722753533E-3</v>
      </c>
    </row>
    <row r="46" spans="1:12" x14ac:dyDescent="0.2">
      <c r="A46" s="73" t="s">
        <v>272</v>
      </c>
      <c r="B46" s="78">
        <v>1196.4000000000001</v>
      </c>
      <c r="C46" s="79">
        <v>-2.6800000000000001E-2</v>
      </c>
      <c r="D46" s="5">
        <f t="shared" si="0"/>
        <v>-4.4518410651133156E-3</v>
      </c>
      <c r="E46" s="73"/>
      <c r="F46" s="78">
        <v>25461</v>
      </c>
      <c r="G46" s="79">
        <v>-6.8999999999999999E-3</v>
      </c>
      <c r="H46" s="5">
        <f t="shared" si="1"/>
        <v>1.2371843172026997E-2</v>
      </c>
    </row>
    <row r="47" spans="1:12" x14ac:dyDescent="0.2">
      <c r="A47" s="73" t="s">
        <v>273</v>
      </c>
      <c r="B47" s="74">
        <v>1229.3499999999999</v>
      </c>
      <c r="C47" s="77">
        <v>4.1599999999999998E-2</v>
      </c>
      <c r="D47" s="5">
        <f t="shared" si="0"/>
        <v>2.7540956201939082E-2</v>
      </c>
      <c r="E47" s="73"/>
      <c r="F47" s="74">
        <v>25637.8</v>
      </c>
      <c r="G47" s="77">
        <v>2.0899999999999998E-2</v>
      </c>
      <c r="H47" s="5">
        <f t="shared" si="1"/>
        <v>6.9439534975059836E-3</v>
      </c>
    </row>
    <row r="48" spans="1:12" x14ac:dyDescent="0.2">
      <c r="A48" s="73" t="s">
        <v>274</v>
      </c>
      <c r="B48" s="78">
        <v>1180.2</v>
      </c>
      <c r="C48" s="79">
        <v>-6.8999999999999999E-3</v>
      </c>
      <c r="D48" s="5">
        <f t="shared" si="0"/>
        <v>-3.9980477488103405E-2</v>
      </c>
      <c r="E48" s="73"/>
      <c r="F48" s="74">
        <v>25112.400000000001</v>
      </c>
      <c r="G48" s="77">
        <v>1.5900000000000001E-2</v>
      </c>
      <c r="H48" s="5">
        <f t="shared" si="1"/>
        <v>-2.0493178041797622E-2</v>
      </c>
    </row>
    <row r="49" spans="1:8" x14ac:dyDescent="0.2">
      <c r="A49" s="73" t="s">
        <v>275</v>
      </c>
      <c r="B49" s="78">
        <v>1188.4000000000001</v>
      </c>
      <c r="C49" s="79">
        <v>-1.67E-2</v>
      </c>
      <c r="D49" s="5">
        <f t="shared" si="0"/>
        <v>6.9479749195051621E-3</v>
      </c>
      <c r="E49" s="73"/>
      <c r="F49" s="78">
        <v>24718.6</v>
      </c>
      <c r="G49" s="79">
        <v>-1.14E-2</v>
      </c>
      <c r="H49" s="5">
        <f t="shared" si="1"/>
        <v>-1.568149599401103E-2</v>
      </c>
    </row>
    <row r="50" spans="1:8" x14ac:dyDescent="0.2">
      <c r="A50" s="73" t="s">
        <v>276</v>
      </c>
      <c r="B50" s="74">
        <v>1208.5999999999999</v>
      </c>
      <c r="C50" s="77">
        <v>8.8000000000000005E-3</v>
      </c>
      <c r="D50" s="5">
        <f t="shared" si="0"/>
        <v>1.6997643890945602E-2</v>
      </c>
      <c r="E50" s="73"/>
      <c r="F50" s="74">
        <v>25003.05</v>
      </c>
      <c r="G50" s="77">
        <v>1.0200000000000001E-2</v>
      </c>
      <c r="H50" s="5">
        <f t="shared" si="1"/>
        <v>1.1507528743537332E-2</v>
      </c>
    </row>
    <row r="51" spans="1:8" x14ac:dyDescent="0.2">
      <c r="A51" s="73" t="s">
        <v>277</v>
      </c>
      <c r="B51" s="78">
        <v>1198.0999999999999</v>
      </c>
      <c r="C51" s="79">
        <v>-7.4999999999999997E-3</v>
      </c>
      <c r="D51" s="5">
        <f t="shared" si="0"/>
        <v>-8.6877378785371606E-3</v>
      </c>
      <c r="E51" s="73"/>
      <c r="F51" s="78">
        <v>24750.7</v>
      </c>
      <c r="G51" s="79">
        <v>-4.1000000000000003E-3</v>
      </c>
      <c r="H51" s="5">
        <f t="shared" si="1"/>
        <v>-1.0092768682220754E-2</v>
      </c>
    </row>
    <row r="52" spans="1:8" x14ac:dyDescent="0.2">
      <c r="A52" s="73" t="s">
        <v>278</v>
      </c>
      <c r="B52" s="74">
        <v>1207.2</v>
      </c>
      <c r="C52" s="77">
        <v>2.3E-3</v>
      </c>
      <c r="D52" s="5">
        <f t="shared" si="0"/>
        <v>7.5953593189217461E-3</v>
      </c>
      <c r="E52" s="73"/>
      <c r="F52" s="78">
        <v>24853.15</v>
      </c>
      <c r="G52" s="79">
        <v>-6.7000000000000002E-3</v>
      </c>
      <c r="H52" s="5">
        <f t="shared" si="1"/>
        <v>4.139276868937003E-3</v>
      </c>
    </row>
    <row r="53" spans="1:8" x14ac:dyDescent="0.2">
      <c r="A53" s="73" t="s">
        <v>279</v>
      </c>
      <c r="B53" s="74">
        <v>1204.4000000000001</v>
      </c>
      <c r="C53" s="77">
        <v>3.5900000000000001E-2</v>
      </c>
      <c r="D53" s="5">
        <f t="shared" si="0"/>
        <v>-2.3194168323392717E-3</v>
      </c>
      <c r="E53" s="73"/>
      <c r="F53" s="74">
        <v>25019.8</v>
      </c>
      <c r="G53" s="77">
        <v>4.2099999999999999E-2</v>
      </c>
      <c r="H53" s="5">
        <f t="shared" si="1"/>
        <v>6.705387445856914E-3</v>
      </c>
    </row>
    <row r="54" spans="1:8" x14ac:dyDescent="0.2">
      <c r="A54" s="73" t="s">
        <v>280</v>
      </c>
      <c r="B54" s="78">
        <v>1162.7</v>
      </c>
      <c r="C54" s="79">
        <v>-5.3E-3</v>
      </c>
      <c r="D54" s="5">
        <f t="shared" si="0"/>
        <v>-3.4623048820989766E-2</v>
      </c>
      <c r="E54" s="73"/>
      <c r="F54" s="78">
        <v>24008</v>
      </c>
      <c r="G54" s="79">
        <v>-1.3899999999999999E-2</v>
      </c>
      <c r="H54" s="5">
        <f t="shared" si="1"/>
        <v>-4.0439971542538311E-2</v>
      </c>
    </row>
    <row r="55" spans="1:8" x14ac:dyDescent="0.2">
      <c r="A55" s="73" t="s">
        <v>281</v>
      </c>
      <c r="B55" s="78">
        <v>1168.8499999999999</v>
      </c>
      <c r="C55" s="79">
        <v>-3.1399999999999997E-2</v>
      </c>
      <c r="D55" s="5">
        <f t="shared" si="0"/>
        <v>5.2894125741806963E-3</v>
      </c>
      <c r="E55" s="73"/>
      <c r="F55" s="74">
        <v>24346.7</v>
      </c>
      <c r="G55" s="77">
        <v>1.2800000000000001E-2</v>
      </c>
      <c r="H55" s="5">
        <f t="shared" si="1"/>
        <v>1.4107797400866318E-2</v>
      </c>
    </row>
    <row r="56" spans="1:8" x14ac:dyDescent="0.2">
      <c r="A56" s="73" t="s">
        <v>282</v>
      </c>
      <c r="B56" s="78">
        <v>1206.75</v>
      </c>
      <c r="C56" s="79">
        <v>-1.2999999999999999E-3</v>
      </c>
      <c r="D56" s="5">
        <f t="shared" si="0"/>
        <v>3.2425033152243765E-2</v>
      </c>
      <c r="E56" s="73"/>
      <c r="F56" s="74">
        <v>24039.35</v>
      </c>
      <c r="G56" s="77">
        <v>7.9000000000000008E-3</v>
      </c>
      <c r="H56" s="5">
        <f t="shared" si="1"/>
        <v>-1.2623887426222113E-2</v>
      </c>
    </row>
    <row r="57" spans="1:8" x14ac:dyDescent="0.2">
      <c r="A57" s="73" t="s">
        <v>283</v>
      </c>
      <c r="B57" s="74">
        <v>1208.3</v>
      </c>
      <c r="C57" s="77">
        <v>2.3400000000000001E-2</v>
      </c>
      <c r="D57" s="5">
        <f t="shared" si="0"/>
        <v>1.2844416822042071E-3</v>
      </c>
      <c r="E57" s="73"/>
      <c r="F57" s="74">
        <v>23851.65</v>
      </c>
      <c r="G57" s="77">
        <v>4.48E-2</v>
      </c>
      <c r="H57" s="5">
        <f t="shared" si="1"/>
        <v>-7.8080314151587338E-3</v>
      </c>
    </row>
    <row r="58" spans="1:8" x14ac:dyDescent="0.2">
      <c r="A58" s="73" t="s">
        <v>284</v>
      </c>
      <c r="B58" s="74">
        <v>1180.7</v>
      </c>
      <c r="C58" s="77">
        <v>4.3900000000000002E-2</v>
      </c>
      <c r="D58" s="5">
        <f t="shared" si="0"/>
        <v>-2.2842009434742905E-2</v>
      </c>
      <c r="E58" s="73"/>
      <c r="F58" s="78">
        <v>22828.55</v>
      </c>
      <c r="G58" s="79">
        <v>-3.3E-3</v>
      </c>
      <c r="H58" s="5">
        <f t="shared" si="1"/>
        <v>-4.2894307102443685E-2</v>
      </c>
    </row>
    <row r="59" spans="1:8" x14ac:dyDescent="0.2">
      <c r="A59" s="73" t="s">
        <v>285</v>
      </c>
      <c r="B59" s="74">
        <v>1131.07</v>
      </c>
      <c r="C59" s="77">
        <v>5.1000000000000004E-3</v>
      </c>
      <c r="D59" s="5">
        <f t="shared" si="0"/>
        <v>-4.2034386380960576E-2</v>
      </c>
      <c r="E59" s="73"/>
      <c r="F59" s="78">
        <v>22904.45</v>
      </c>
      <c r="G59" s="79">
        <v>-2.6100000000000002E-2</v>
      </c>
      <c r="H59" s="5">
        <f t="shared" si="1"/>
        <v>3.3247840971064591E-3</v>
      </c>
    </row>
    <row r="60" spans="1:8" x14ac:dyDescent="0.2">
      <c r="A60" s="73" t="s">
        <v>286</v>
      </c>
      <c r="B60" s="78">
        <v>1125.3800000000001</v>
      </c>
      <c r="C60" s="79">
        <v>-8.0000000000000002E-3</v>
      </c>
      <c r="D60" s="5">
        <f t="shared" si="0"/>
        <v>-5.0306347087269998E-3</v>
      </c>
      <c r="E60" s="73"/>
      <c r="F60" s="74">
        <v>23519.35</v>
      </c>
      <c r="G60" s="77">
        <v>7.1999999999999998E-3</v>
      </c>
      <c r="H60" s="5">
        <f t="shared" si="1"/>
        <v>2.6846311524616251E-2</v>
      </c>
    </row>
    <row r="61" spans="1:8" x14ac:dyDescent="0.2">
      <c r="A61" s="73" t="s">
        <v>287</v>
      </c>
      <c r="B61" s="74">
        <v>1134.43</v>
      </c>
      <c r="C61" s="77">
        <v>3.5099999999999999E-2</v>
      </c>
      <c r="D61" s="5">
        <f t="shared" si="0"/>
        <v>8.0417281273881258E-3</v>
      </c>
      <c r="E61" s="73"/>
      <c r="F61" s="74">
        <v>23350.400000000001</v>
      </c>
      <c r="G61" s="77">
        <v>4.2599999999999999E-2</v>
      </c>
      <c r="H61" s="5">
        <f t="shared" si="1"/>
        <v>-7.1834468214468927E-3</v>
      </c>
    </row>
    <row r="62" spans="1:8" x14ac:dyDescent="0.2">
      <c r="A62" s="73" t="s">
        <v>288</v>
      </c>
      <c r="B62" s="78">
        <v>1095.97</v>
      </c>
      <c r="C62" s="79">
        <v>-2.0799999999999999E-2</v>
      </c>
      <c r="D62" s="5">
        <f t="shared" si="0"/>
        <v>-3.3902488474388037E-2</v>
      </c>
      <c r="E62" s="73"/>
      <c r="F62" s="78">
        <v>22397.200000000001</v>
      </c>
      <c r="G62" s="79">
        <v>-6.8999999999999999E-3</v>
      </c>
      <c r="H62" s="5">
        <f t="shared" si="1"/>
        <v>-4.0821570508428162E-2</v>
      </c>
    </row>
    <row r="63" spans="1:8" x14ac:dyDescent="0.2">
      <c r="A63" s="73" t="s">
        <v>289</v>
      </c>
      <c r="B63" s="74">
        <v>1119.22</v>
      </c>
      <c r="C63" s="77">
        <v>2.23E-2</v>
      </c>
      <c r="D63" s="5">
        <f t="shared" si="0"/>
        <v>2.1214084327125793E-2</v>
      </c>
      <c r="E63" s="73"/>
      <c r="F63" s="74">
        <v>22552.5</v>
      </c>
      <c r="G63" s="77">
        <v>1.9300000000000001E-2</v>
      </c>
      <c r="H63" s="5">
        <f t="shared" si="1"/>
        <v>6.9339024520922443E-3</v>
      </c>
    </row>
    <row r="64" spans="1:8" x14ac:dyDescent="0.2">
      <c r="A64" s="73" t="s">
        <v>290</v>
      </c>
      <c r="B64" s="78">
        <v>1094.82</v>
      </c>
      <c r="C64" s="79">
        <v>-1.14E-2</v>
      </c>
      <c r="D64" s="5">
        <f t="shared" si="0"/>
        <v>-2.1800897053305013E-2</v>
      </c>
      <c r="E64" s="73"/>
      <c r="F64" s="78">
        <v>22124.7</v>
      </c>
      <c r="G64" s="79">
        <v>-2.9399999999999999E-2</v>
      </c>
      <c r="H64" s="5">
        <f t="shared" si="1"/>
        <v>-1.8969072164948475E-2</v>
      </c>
    </row>
    <row r="65" spans="1:8" x14ac:dyDescent="0.2">
      <c r="A65" s="73" t="s">
        <v>291</v>
      </c>
      <c r="B65" s="74">
        <v>1107.47</v>
      </c>
      <c r="C65" s="77">
        <v>8.6999999999999994E-3</v>
      </c>
      <c r="D65" s="5">
        <f t="shared" si="0"/>
        <v>1.1554410770720391E-2</v>
      </c>
      <c r="E65" s="73"/>
      <c r="F65" s="78">
        <v>22795.9</v>
      </c>
      <c r="G65" s="79">
        <v>-5.7999999999999996E-3</v>
      </c>
      <c r="H65" s="5">
        <f t="shared" si="1"/>
        <v>3.0337134514818231E-2</v>
      </c>
    </row>
    <row r="66" spans="1:8" x14ac:dyDescent="0.2">
      <c r="A66" s="73" t="s">
        <v>292</v>
      </c>
      <c r="B66" s="78">
        <v>1097.93</v>
      </c>
      <c r="C66" s="79">
        <v>-1.3100000000000001E-2</v>
      </c>
      <c r="D66" s="5">
        <f t="shared" si="0"/>
        <v>-8.6142288278688861E-3</v>
      </c>
      <c r="E66" s="73"/>
      <c r="F66" s="78">
        <v>22929.25</v>
      </c>
      <c r="G66" s="79">
        <v>-2.6800000000000001E-2</v>
      </c>
      <c r="H66" s="5">
        <f t="shared" si="1"/>
        <v>5.8497361367613188E-3</v>
      </c>
    </row>
    <row r="67" spans="1:8" x14ac:dyDescent="0.2">
      <c r="A67" s="73" t="s">
        <v>293</v>
      </c>
      <c r="B67" s="78">
        <v>1112.55</v>
      </c>
      <c r="C67" s="79">
        <v>-3.8100000000000002E-2</v>
      </c>
      <c r="D67" s="5">
        <f t="shared" si="0"/>
        <v>1.3315967320320921E-2</v>
      </c>
      <c r="E67" s="73"/>
      <c r="F67" s="74">
        <v>23559.95</v>
      </c>
      <c r="G67" s="77">
        <v>2.2000000000000001E-3</v>
      </c>
      <c r="H67" s="5">
        <f t="shared" si="1"/>
        <v>2.7506351058146361E-2</v>
      </c>
    </row>
    <row r="68" spans="1:8" x14ac:dyDescent="0.2">
      <c r="A68" s="73" t="s">
        <v>294</v>
      </c>
      <c r="B68" s="74">
        <v>1156.5999999999999</v>
      </c>
      <c r="C68" s="77">
        <v>4.7699999999999999E-2</v>
      </c>
      <c r="D68" s="5">
        <f t="shared" si="0"/>
        <v>3.9593726124668605E-2</v>
      </c>
      <c r="E68" s="73"/>
      <c r="F68" s="74">
        <v>23508.400000000001</v>
      </c>
      <c r="G68" s="77">
        <v>1.7999999999999999E-2</v>
      </c>
      <c r="H68" s="5">
        <f t="shared" si="1"/>
        <v>-2.188035203809835E-3</v>
      </c>
    </row>
    <row r="69" spans="1:8" x14ac:dyDescent="0.2">
      <c r="A69" s="73" t="s">
        <v>295</v>
      </c>
      <c r="B69" s="78">
        <v>1103.95</v>
      </c>
      <c r="C69" s="79">
        <v>-4.1999999999999997E-3</v>
      </c>
      <c r="D69" s="5">
        <f t="shared" si="0"/>
        <v>-4.5521355697734633E-2</v>
      </c>
      <c r="E69" s="73"/>
      <c r="F69" s="78">
        <v>23092.2</v>
      </c>
      <c r="G69" s="79">
        <v>-4.7999999999999996E-3</v>
      </c>
      <c r="H69" s="5">
        <f t="shared" si="1"/>
        <v>-1.7704309948784247E-2</v>
      </c>
    </row>
    <row r="70" spans="1:8" x14ac:dyDescent="0.2">
      <c r="A70" s="73" t="s">
        <v>296</v>
      </c>
      <c r="B70" s="78">
        <v>1108.5999999999999</v>
      </c>
      <c r="C70" s="79">
        <v>-1.37E-2</v>
      </c>
      <c r="D70" s="5">
        <f t="shared" ref="D70:D107" si="2">B70/B69-1</f>
        <v>4.2121472892793221E-3</v>
      </c>
      <c r="E70" s="73"/>
      <c r="F70" s="78">
        <v>23203.200000000001</v>
      </c>
      <c r="G70" s="79">
        <v>-9.7000000000000003E-3</v>
      </c>
      <c r="H70" s="5">
        <f t="shared" ref="H70:H107" si="3">F70/F69-1</f>
        <v>4.8068178865590117E-3</v>
      </c>
    </row>
    <row r="71" spans="1:8" x14ac:dyDescent="0.2">
      <c r="A71" s="73" t="s">
        <v>297</v>
      </c>
      <c r="B71" s="74">
        <v>1123.95</v>
      </c>
      <c r="C71" s="77">
        <v>6.7999999999999996E-3</v>
      </c>
      <c r="D71" s="5">
        <f t="shared" si="2"/>
        <v>1.3846292621324308E-2</v>
      </c>
      <c r="E71" s="73"/>
      <c r="F71" s="78">
        <v>23431.5</v>
      </c>
      <c r="G71" s="79">
        <v>-2.3900000000000001E-2</v>
      </c>
      <c r="H71" s="5">
        <f t="shared" si="3"/>
        <v>9.8391601158460684E-3</v>
      </c>
    </row>
    <row r="72" spans="1:8" x14ac:dyDescent="0.2">
      <c r="A72" s="73" t="s">
        <v>298</v>
      </c>
      <c r="B72" s="74">
        <v>1116.3499999999999</v>
      </c>
      <c r="C72" s="77">
        <v>3.1E-2</v>
      </c>
      <c r="D72" s="5">
        <f t="shared" si="2"/>
        <v>-6.7618666310780284E-3</v>
      </c>
      <c r="E72" s="73"/>
      <c r="F72" s="74">
        <v>24004.75</v>
      </c>
      <c r="G72" s="77">
        <v>8.0000000000000002E-3</v>
      </c>
      <c r="H72" s="5">
        <f t="shared" si="3"/>
        <v>2.4464929688666981E-2</v>
      </c>
    </row>
    <row r="73" spans="1:8" x14ac:dyDescent="0.2">
      <c r="A73" s="73" t="s">
        <v>299</v>
      </c>
      <c r="B73" s="74">
        <v>1082.8</v>
      </c>
      <c r="C73" s="77">
        <v>1E-3</v>
      </c>
      <c r="D73" s="5">
        <f t="shared" si="2"/>
        <v>-3.0053298696645303E-2</v>
      </c>
      <c r="E73" s="73"/>
      <c r="F73" s="74">
        <v>23813.4</v>
      </c>
      <c r="G73" s="77">
        <v>9.5999999999999992E-3</v>
      </c>
      <c r="H73" s="5">
        <f t="shared" si="3"/>
        <v>-7.9713390058216982E-3</v>
      </c>
    </row>
    <row r="74" spans="1:8" x14ac:dyDescent="0.2">
      <c r="A74" s="73" t="s">
        <v>300</v>
      </c>
      <c r="B74" s="78">
        <v>1081.75</v>
      </c>
      <c r="C74" s="79">
        <v>-3.9899999999999998E-2</v>
      </c>
      <c r="D74" s="5">
        <f t="shared" si="2"/>
        <v>-9.6970816401920068E-4</v>
      </c>
      <c r="E74" s="73"/>
      <c r="F74" s="78">
        <v>23587.5</v>
      </c>
      <c r="G74" s="79">
        <v>-4.7699999999999999E-2</v>
      </c>
      <c r="H74" s="5">
        <f t="shared" si="3"/>
        <v>-9.4862556375822082E-3</v>
      </c>
    </row>
    <row r="75" spans="1:8" x14ac:dyDescent="0.2">
      <c r="A75" s="73" t="s">
        <v>301</v>
      </c>
      <c r="B75" s="78">
        <v>1126.75</v>
      </c>
      <c r="C75" s="79">
        <v>-6.3E-3</v>
      </c>
      <c r="D75" s="5">
        <f t="shared" si="2"/>
        <v>4.159926045759188E-2</v>
      </c>
      <c r="E75" s="73"/>
      <c r="F75" s="74">
        <v>24768.3</v>
      </c>
      <c r="G75" s="77">
        <v>3.7000000000000002E-3</v>
      </c>
      <c r="H75" s="5">
        <f t="shared" si="3"/>
        <v>5.0060413354531041E-2</v>
      </c>
    </row>
    <row r="76" spans="1:8" x14ac:dyDescent="0.2">
      <c r="A76" s="73" t="s">
        <v>302</v>
      </c>
      <c r="B76" s="74">
        <v>1133.9000000000001</v>
      </c>
      <c r="C76" s="77">
        <v>1.4800000000000001E-2</v>
      </c>
      <c r="D76" s="5">
        <f t="shared" si="2"/>
        <v>6.3456844907920917E-3</v>
      </c>
      <c r="E76" s="73"/>
      <c r="F76" s="74">
        <v>24677.8</v>
      </c>
      <c r="G76" s="77">
        <v>2.2700000000000001E-2</v>
      </c>
      <c r="H76" s="5">
        <f t="shared" si="3"/>
        <v>-3.653864011660013E-3</v>
      </c>
    </row>
    <row r="77" spans="1:8" x14ac:dyDescent="0.2">
      <c r="A77" s="73" t="s">
        <v>303</v>
      </c>
      <c r="B77" s="78">
        <v>1117.32</v>
      </c>
      <c r="C77" s="79">
        <v>-5.5999999999999999E-3</v>
      </c>
      <c r="D77" s="5">
        <f t="shared" si="2"/>
        <v>-1.4622100714348885E-2</v>
      </c>
      <c r="E77" s="73"/>
      <c r="F77" s="74">
        <v>24131.1</v>
      </c>
      <c r="G77" s="77">
        <v>9.4000000000000004E-3</v>
      </c>
      <c r="H77" s="5">
        <f t="shared" si="3"/>
        <v>-2.2153514494809179E-2</v>
      </c>
    </row>
    <row r="78" spans="1:8" x14ac:dyDescent="0.2">
      <c r="A78" s="73" t="s">
        <v>304</v>
      </c>
      <c r="B78" s="74">
        <v>1123.6500000000001</v>
      </c>
      <c r="C78" s="77">
        <v>2.9499999999999998E-2</v>
      </c>
      <c r="D78" s="5">
        <f t="shared" si="2"/>
        <v>5.6653420685213174E-3</v>
      </c>
      <c r="E78" s="73"/>
      <c r="F78" s="74">
        <v>23907.25</v>
      </c>
      <c r="G78" s="77">
        <v>1.5900000000000001E-2</v>
      </c>
      <c r="H78" s="5">
        <f t="shared" si="3"/>
        <v>-9.2764109385812255E-3</v>
      </c>
    </row>
    <row r="79" spans="1:8" x14ac:dyDescent="0.2">
      <c r="A79" s="73" t="s">
        <v>305</v>
      </c>
      <c r="B79" s="78">
        <v>1091.4000000000001</v>
      </c>
      <c r="C79" s="79">
        <v>-4.9200000000000001E-2</v>
      </c>
      <c r="D79" s="5">
        <f t="shared" si="2"/>
        <v>-2.8701107996262132E-2</v>
      </c>
      <c r="E79" s="73"/>
      <c r="F79" s="78">
        <v>23532.7</v>
      </c>
      <c r="G79" s="79">
        <v>-2.5499999999999998E-2</v>
      </c>
      <c r="H79" s="5">
        <f t="shared" si="3"/>
        <v>-1.5666795637306663E-2</v>
      </c>
    </row>
    <row r="80" spans="1:8" x14ac:dyDescent="0.2">
      <c r="A80" s="73" t="s">
        <v>306</v>
      </c>
      <c r="B80" s="74">
        <v>1147.82</v>
      </c>
      <c r="C80" s="77">
        <v>5.7999999999999996E-3</v>
      </c>
      <c r="D80" s="5">
        <f t="shared" si="2"/>
        <v>5.1695070551585065E-2</v>
      </c>
      <c r="E80" s="73"/>
      <c r="F80" s="78">
        <v>24148.2</v>
      </c>
      <c r="G80" s="79">
        <v>-6.4000000000000003E-3</v>
      </c>
      <c r="H80" s="5">
        <f t="shared" si="3"/>
        <v>2.6155094825498049E-2</v>
      </c>
    </row>
    <row r="81" spans="1:8" x14ac:dyDescent="0.2">
      <c r="A81" s="73" t="s">
        <v>307</v>
      </c>
      <c r="B81" s="74">
        <v>1141.1500000000001</v>
      </c>
      <c r="C81" s="77">
        <v>9.5999999999999992E-3</v>
      </c>
      <c r="D81" s="5">
        <f t="shared" si="2"/>
        <v>-5.8110156644768374E-3</v>
      </c>
      <c r="E81" s="73"/>
      <c r="F81" s="74">
        <v>24304.35</v>
      </c>
      <c r="G81" s="77">
        <v>5.1000000000000004E-3</v>
      </c>
      <c r="H81" s="5">
        <f t="shared" si="3"/>
        <v>6.4663204710908584E-3</v>
      </c>
    </row>
    <row r="82" spans="1:8" x14ac:dyDescent="0.2">
      <c r="A82" s="73" t="s">
        <v>308</v>
      </c>
      <c r="B82" s="78">
        <v>1130.3499999999999</v>
      </c>
      <c r="C82" s="79">
        <v>-3.8100000000000002E-2</v>
      </c>
      <c r="D82" s="5">
        <f t="shared" si="2"/>
        <v>-9.4641370547257075E-3</v>
      </c>
      <c r="E82" s="73"/>
      <c r="F82" s="78">
        <v>24180.799999999999</v>
      </c>
      <c r="G82" s="79">
        <v>-2.7099999999999999E-2</v>
      </c>
      <c r="H82" s="5">
        <f t="shared" si="3"/>
        <v>-5.0834521392261189E-3</v>
      </c>
    </row>
    <row r="83" spans="1:8" x14ac:dyDescent="0.2">
      <c r="A83" s="73" t="s">
        <v>309</v>
      </c>
      <c r="B83" s="78">
        <v>1175.1300000000001</v>
      </c>
      <c r="C83" s="79">
        <v>-6.4299999999999996E-2</v>
      </c>
      <c r="D83" s="5">
        <f t="shared" si="2"/>
        <v>3.9616048126686509E-2</v>
      </c>
      <c r="E83" s="73"/>
      <c r="F83" s="78">
        <v>24854.05</v>
      </c>
      <c r="G83" s="79">
        <v>-4.4000000000000003E-3</v>
      </c>
      <c r="H83" s="5">
        <f t="shared" si="3"/>
        <v>2.7842337722490562E-2</v>
      </c>
    </row>
    <row r="84" spans="1:8" x14ac:dyDescent="0.2">
      <c r="A84" s="73" t="s">
        <v>310</v>
      </c>
      <c r="B84" s="78">
        <v>1255.9000000000001</v>
      </c>
      <c r="C84" s="79">
        <v>-3.32E-2</v>
      </c>
      <c r="D84" s="5">
        <f t="shared" si="2"/>
        <v>6.873282104958589E-2</v>
      </c>
      <c r="E84" s="73"/>
      <c r="F84" s="78">
        <v>24964.25</v>
      </c>
      <c r="G84" s="79">
        <v>-2E-3</v>
      </c>
      <c r="H84" s="5">
        <f t="shared" si="3"/>
        <v>4.4338850207512603E-3</v>
      </c>
    </row>
    <row r="85" spans="1:8" x14ac:dyDescent="0.2">
      <c r="A85" s="73" t="s">
        <v>311</v>
      </c>
      <c r="B85" s="78">
        <v>1299.07</v>
      </c>
      <c r="C85" s="79">
        <v>-5.3699999999999998E-2</v>
      </c>
      <c r="D85" s="5">
        <f t="shared" si="2"/>
        <v>3.4373755872282752E-2</v>
      </c>
      <c r="E85" s="73"/>
      <c r="F85" s="78">
        <v>25014.6</v>
      </c>
      <c r="G85" s="79">
        <v>-4.4499999999999998E-2</v>
      </c>
      <c r="H85" s="5">
        <f t="shared" si="3"/>
        <v>2.0168841443264363E-3</v>
      </c>
    </row>
    <row r="86" spans="1:8" x14ac:dyDescent="0.2">
      <c r="A86" s="73" t="s">
        <v>312</v>
      </c>
      <c r="B86" s="74">
        <v>1372.85</v>
      </c>
      <c r="C86" s="77">
        <v>1.7100000000000001E-2</v>
      </c>
      <c r="D86" s="5">
        <f t="shared" si="2"/>
        <v>5.6794476048249942E-2</v>
      </c>
      <c r="E86" s="73"/>
      <c r="F86" s="74">
        <v>26178.95</v>
      </c>
      <c r="G86" s="77">
        <v>1.4999999999999999E-2</v>
      </c>
      <c r="H86" s="5">
        <f t="shared" si="3"/>
        <v>4.6546816659071233E-2</v>
      </c>
    </row>
    <row r="87" spans="1:8" x14ac:dyDescent="0.2">
      <c r="A87" s="73" t="s">
        <v>313</v>
      </c>
      <c r="B87" s="74">
        <v>1349.78</v>
      </c>
      <c r="C87" s="77">
        <v>6.6400000000000001E-2</v>
      </c>
      <c r="D87" s="5">
        <f t="shared" si="2"/>
        <v>-1.6804457879593504E-2</v>
      </c>
      <c r="E87" s="73"/>
      <c r="F87" s="74">
        <v>25790.95</v>
      </c>
      <c r="G87" s="77">
        <v>1.7100000000000001E-2</v>
      </c>
      <c r="H87" s="5">
        <f t="shared" si="3"/>
        <v>-1.4821068071866894E-2</v>
      </c>
    </row>
    <row r="88" spans="1:8" x14ac:dyDescent="0.2">
      <c r="A88" s="73" t="s">
        <v>314</v>
      </c>
      <c r="B88" s="74">
        <v>1265.7</v>
      </c>
      <c r="C88" s="77">
        <v>1.1299999999999999E-2</v>
      </c>
      <c r="D88" s="5">
        <f t="shared" si="2"/>
        <v>-6.2291632710515743E-2</v>
      </c>
      <c r="E88" s="73"/>
      <c r="F88" s="74">
        <v>25356.5</v>
      </c>
      <c r="G88" s="77">
        <v>2.0299999999999999E-2</v>
      </c>
      <c r="H88" s="5">
        <f t="shared" si="3"/>
        <v>-1.684505611464493E-2</v>
      </c>
    </row>
    <row r="89" spans="1:8" x14ac:dyDescent="0.2">
      <c r="A89" s="73" t="s">
        <v>315</v>
      </c>
      <c r="B89" s="74">
        <v>1251.5999999999999</v>
      </c>
      <c r="C89" s="77">
        <v>1E-3</v>
      </c>
      <c r="D89" s="5">
        <f t="shared" si="2"/>
        <v>-1.1140080587817125E-2</v>
      </c>
      <c r="E89" s="73"/>
      <c r="F89" s="78">
        <v>24852.15</v>
      </c>
      <c r="G89" s="79">
        <v>-1.52E-2</v>
      </c>
      <c r="H89" s="5">
        <f t="shared" si="3"/>
        <v>-1.9890363417664036E-2</v>
      </c>
    </row>
    <row r="90" spans="1:8" x14ac:dyDescent="0.2">
      <c r="A90" s="73" t="s">
        <v>316</v>
      </c>
      <c r="B90" s="78">
        <v>1250.3800000000001</v>
      </c>
      <c r="C90" s="79">
        <v>-1.12E-2</v>
      </c>
      <c r="D90" s="5">
        <f t="shared" si="2"/>
        <v>-9.7475231703403331E-4</v>
      </c>
      <c r="E90" s="73"/>
      <c r="F90" s="74">
        <v>25235.9</v>
      </c>
      <c r="G90" s="77">
        <v>1.66E-2</v>
      </c>
      <c r="H90" s="5">
        <f t="shared" si="3"/>
        <v>1.544131996628062E-2</v>
      </c>
    </row>
    <row r="91" spans="1:8" x14ac:dyDescent="0.2">
      <c r="A91" s="73" t="s">
        <v>317</v>
      </c>
      <c r="B91" s="74">
        <v>1264.5999999999999</v>
      </c>
      <c r="C91" s="77">
        <v>1.5E-3</v>
      </c>
      <c r="D91" s="5">
        <f t="shared" si="2"/>
        <v>1.1372542747004832E-2</v>
      </c>
      <c r="E91" s="73"/>
      <c r="F91" s="74">
        <v>24823.15</v>
      </c>
      <c r="G91" s="77">
        <v>1.15E-2</v>
      </c>
      <c r="H91" s="5">
        <f t="shared" si="3"/>
        <v>-1.6355667917530181E-2</v>
      </c>
    </row>
    <row r="92" spans="1:8" x14ac:dyDescent="0.2">
      <c r="A92" s="73" t="s">
        <v>318</v>
      </c>
      <c r="B92" s="74">
        <v>1262.72</v>
      </c>
      <c r="C92" s="77">
        <v>8.3000000000000001E-3</v>
      </c>
      <c r="D92" s="5">
        <f t="shared" si="2"/>
        <v>-1.4866360904632892E-3</v>
      </c>
      <c r="E92" s="73"/>
      <c r="F92" s="74">
        <v>24541.15</v>
      </c>
      <c r="G92" s="77">
        <v>7.1000000000000004E-3</v>
      </c>
      <c r="H92" s="5">
        <f t="shared" si="3"/>
        <v>-1.1360363209342861E-2</v>
      </c>
    </row>
    <row r="93" spans="1:8" x14ac:dyDescent="0.2">
      <c r="A93" s="73" t="s">
        <v>319</v>
      </c>
      <c r="B93" s="74">
        <v>1252.3499999999999</v>
      </c>
      <c r="C93" s="77">
        <v>3.8E-3</v>
      </c>
      <c r="D93" s="5">
        <f t="shared" si="2"/>
        <v>-8.212430309173957E-3</v>
      </c>
      <c r="E93" s="73"/>
      <c r="F93" s="78">
        <v>24367.5</v>
      </c>
      <c r="G93" s="79">
        <v>-1.4200000000000001E-2</v>
      </c>
      <c r="H93" s="5">
        <f t="shared" si="3"/>
        <v>-7.0758705276647849E-3</v>
      </c>
    </row>
    <row r="94" spans="1:8" x14ac:dyDescent="0.2">
      <c r="A94" s="73" t="s">
        <v>320</v>
      </c>
      <c r="B94" s="74">
        <v>1247.55</v>
      </c>
      <c r="C94" s="77">
        <v>7.3000000000000001E-3</v>
      </c>
      <c r="D94" s="5">
        <f t="shared" si="2"/>
        <v>-3.8327943466283099E-3</v>
      </c>
      <c r="E94" s="73"/>
      <c r="F94" s="78">
        <v>24717.7</v>
      </c>
      <c r="G94" s="79">
        <v>-4.7000000000000002E-3</v>
      </c>
      <c r="H94" s="5">
        <f t="shared" si="3"/>
        <v>1.4371601518415877E-2</v>
      </c>
    </row>
    <row r="95" spans="1:8" x14ac:dyDescent="0.2">
      <c r="A95" s="73" t="s">
        <v>321</v>
      </c>
      <c r="B95" s="78">
        <v>1238.45</v>
      </c>
      <c r="C95" s="79">
        <v>-4.6600000000000003E-2</v>
      </c>
      <c r="D95" s="5">
        <f t="shared" si="2"/>
        <v>-7.2942968217706294E-3</v>
      </c>
      <c r="E95" s="73"/>
      <c r="F95" s="74">
        <v>24834.85</v>
      </c>
      <c r="G95" s="77">
        <v>1.24E-2</v>
      </c>
      <c r="H95" s="5">
        <f t="shared" si="3"/>
        <v>4.7395186445340354E-3</v>
      </c>
    </row>
    <row r="96" spans="1:8" x14ac:dyDescent="0.2">
      <c r="A96" s="73" t="s">
        <v>322</v>
      </c>
      <c r="B96" s="78">
        <v>1298.93</v>
      </c>
      <c r="C96" s="79">
        <v>-4.3E-3</v>
      </c>
      <c r="D96" s="5">
        <f t="shared" si="2"/>
        <v>4.8835237595381331E-2</v>
      </c>
      <c r="E96" s="73"/>
      <c r="F96" s="74">
        <v>24530.9</v>
      </c>
      <c r="G96" s="77">
        <v>1.1999999999999999E-3</v>
      </c>
      <c r="H96" s="5">
        <f t="shared" si="3"/>
        <v>-1.2238849842056476E-2</v>
      </c>
    </row>
    <row r="97" spans="1:8" x14ac:dyDescent="0.2">
      <c r="A97" s="73" t="s">
        <v>323</v>
      </c>
      <c r="B97" s="74">
        <v>1304.5</v>
      </c>
      <c r="C97" s="77">
        <v>1.35E-2</v>
      </c>
      <c r="D97" s="5">
        <f t="shared" si="2"/>
        <v>4.288144857690579E-3</v>
      </c>
      <c r="E97" s="73"/>
      <c r="F97" s="74">
        <v>24502.15</v>
      </c>
      <c r="G97" s="77">
        <v>7.3000000000000001E-3</v>
      </c>
      <c r="H97" s="5">
        <f t="shared" si="3"/>
        <v>-1.1719912436967128E-3</v>
      </c>
    </row>
    <row r="98" spans="1:8" x14ac:dyDescent="0.2">
      <c r="A98" s="73" t="s">
        <v>324</v>
      </c>
      <c r="B98" s="74">
        <v>1287.07</v>
      </c>
      <c r="C98" s="77">
        <v>8.8000000000000005E-3</v>
      </c>
      <c r="D98" s="5">
        <f t="shared" si="2"/>
        <v>-1.3361441165197441E-2</v>
      </c>
      <c r="E98" s="73"/>
      <c r="F98" s="74">
        <v>24323.85</v>
      </c>
      <c r="G98" s="77">
        <v>1.2999999999999999E-2</v>
      </c>
      <c r="H98" s="5">
        <f t="shared" si="3"/>
        <v>-7.2769124342150215E-3</v>
      </c>
    </row>
    <row r="99" spans="1:8" x14ac:dyDescent="0.2">
      <c r="A99" s="73" t="s">
        <v>325</v>
      </c>
      <c r="B99" s="74">
        <v>1275.82</v>
      </c>
      <c r="C99" s="77">
        <v>2.1299999999999999E-2</v>
      </c>
      <c r="D99" s="5">
        <f t="shared" si="2"/>
        <v>-8.7407833295780613E-3</v>
      </c>
      <c r="E99" s="73"/>
      <c r="F99" s="74">
        <v>24010.6</v>
      </c>
      <c r="G99" s="77">
        <v>2.1700000000000001E-2</v>
      </c>
      <c r="H99" s="5">
        <f t="shared" si="3"/>
        <v>-1.2878306682535867E-2</v>
      </c>
    </row>
    <row r="100" spans="1:8" x14ac:dyDescent="0.2">
      <c r="A100" s="73" t="s">
        <v>326</v>
      </c>
      <c r="B100" s="78">
        <v>1249.2</v>
      </c>
      <c r="C100" s="79">
        <v>-1.7299999999999999E-2</v>
      </c>
      <c r="D100" s="5">
        <f t="shared" si="2"/>
        <v>-2.0865012305811059E-2</v>
      </c>
      <c r="E100" s="73"/>
      <c r="F100" s="74">
        <v>23501.1</v>
      </c>
      <c r="G100" s="77">
        <v>1.5E-3</v>
      </c>
      <c r="H100" s="5">
        <f t="shared" si="3"/>
        <v>-2.1219794590722429E-2</v>
      </c>
    </row>
    <row r="101" spans="1:8" x14ac:dyDescent="0.2">
      <c r="A101" s="73" t="s">
        <v>327</v>
      </c>
      <c r="B101" s="74">
        <v>1271.25</v>
      </c>
      <c r="C101" s="77">
        <v>1.6E-2</v>
      </c>
      <c r="D101" s="5">
        <f t="shared" si="2"/>
        <v>1.765129682997113E-2</v>
      </c>
      <c r="E101" s="73"/>
      <c r="F101" s="74">
        <v>23465.599999999999</v>
      </c>
      <c r="G101" s="77">
        <v>7.4999999999999997E-3</v>
      </c>
      <c r="H101" s="5">
        <f t="shared" si="3"/>
        <v>-1.5105675904532045E-3</v>
      </c>
    </row>
    <row r="102" spans="1:8" x14ac:dyDescent="0.2">
      <c r="A102" s="73" t="s">
        <v>328</v>
      </c>
      <c r="B102" s="74">
        <v>1251.22</v>
      </c>
      <c r="C102" s="77">
        <v>6.2700000000000006E-2</v>
      </c>
      <c r="D102" s="5">
        <f t="shared" si="2"/>
        <v>-1.5756145526056975E-2</v>
      </c>
      <c r="E102" s="73"/>
      <c r="F102" s="74">
        <v>23290.15</v>
      </c>
      <c r="G102" s="77">
        <v>3.3700000000000001E-2</v>
      </c>
      <c r="H102" s="5">
        <f t="shared" si="3"/>
        <v>-7.4769023591980677E-3</v>
      </c>
    </row>
    <row r="103" spans="1:8" x14ac:dyDescent="0.2">
      <c r="A103" s="73" t="s">
        <v>329</v>
      </c>
      <c r="B103" s="78">
        <v>1177.45</v>
      </c>
      <c r="C103" s="79">
        <v>-4.5699999999999998E-2</v>
      </c>
      <c r="D103" s="5">
        <f t="shared" si="2"/>
        <v>-5.8958456546410742E-2</v>
      </c>
      <c r="E103" s="73"/>
      <c r="F103" s="78">
        <v>22530.7</v>
      </c>
      <c r="G103" s="79">
        <v>-1.8599999999999998E-2</v>
      </c>
      <c r="H103" s="5">
        <f t="shared" si="3"/>
        <v>-3.2608205614820029E-2</v>
      </c>
    </row>
    <row r="104" spans="1:8" x14ac:dyDescent="0.2">
      <c r="A104" s="73" t="s">
        <v>330</v>
      </c>
      <c r="B104" s="74">
        <v>1233.8800000000001</v>
      </c>
      <c r="C104" s="77">
        <v>9.1000000000000004E-3</v>
      </c>
      <c r="D104" s="5">
        <f t="shared" si="2"/>
        <v>4.7925601936388063E-2</v>
      </c>
      <c r="E104" s="73"/>
      <c r="F104" s="74">
        <v>22957.1</v>
      </c>
      <c r="G104" s="77">
        <v>2.1899999999999999E-2</v>
      </c>
      <c r="H104" s="5">
        <f t="shared" si="3"/>
        <v>1.8925288606212787E-2</v>
      </c>
    </row>
    <row r="105" spans="1:8" x14ac:dyDescent="0.2">
      <c r="A105" s="73" t="s">
        <v>331</v>
      </c>
      <c r="B105" s="78">
        <v>1222.75</v>
      </c>
      <c r="C105" s="79">
        <v>-3.4599999999999999E-2</v>
      </c>
      <c r="D105" s="5">
        <f t="shared" si="2"/>
        <v>-9.0203261257173484E-3</v>
      </c>
      <c r="E105" s="73"/>
      <c r="F105" s="74">
        <v>22466.1</v>
      </c>
      <c r="G105" s="77">
        <v>1.8599999999999998E-2</v>
      </c>
      <c r="H105" s="5">
        <f t="shared" si="3"/>
        <v>-2.1387718832082458E-2</v>
      </c>
    </row>
    <row r="106" spans="1:8" x14ac:dyDescent="0.2">
      <c r="A106" s="73" t="s">
        <v>332</v>
      </c>
      <c r="B106" s="74">
        <v>1266.5999999999999</v>
      </c>
      <c r="C106" s="77">
        <v>3.1399999999999997E-2</v>
      </c>
      <c r="D106" s="5">
        <f t="shared" si="2"/>
        <v>3.5861786955632802E-2</v>
      </c>
      <c r="E106" s="73"/>
      <c r="F106" s="78">
        <v>22055.200000000001</v>
      </c>
      <c r="G106" s="79">
        <v>-1.8700000000000001E-2</v>
      </c>
      <c r="H106" s="5">
        <f t="shared" si="3"/>
        <v>-1.8289778822314418E-2</v>
      </c>
    </row>
    <row r="107" spans="1:8" x14ac:dyDescent="0.2">
      <c r="A107" s="73" t="s">
        <v>333</v>
      </c>
      <c r="B107" s="78">
        <v>1228.05</v>
      </c>
      <c r="C107" s="79">
        <v>-1.0699999999999999E-2</v>
      </c>
      <c r="D107" s="5">
        <f t="shared" si="2"/>
        <v>-3.0435812411179541E-2</v>
      </c>
      <c r="E107" s="73"/>
      <c r="F107" s="74">
        <v>22475.85</v>
      </c>
      <c r="G107" s="77">
        <v>2.5000000000000001E-3</v>
      </c>
      <c r="H107" s="5">
        <f t="shared" si="3"/>
        <v>1.9072599659037293E-2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DEA1-7F5B-9341-8740-4BBD8F02DBC1}">
  <dimension ref="B1:BT305"/>
  <sheetViews>
    <sheetView showGridLines="0" zoomScale="33" workbookViewId="0">
      <selection activeCell="I1" sqref="I1"/>
    </sheetView>
  </sheetViews>
  <sheetFormatPr baseColWidth="10" defaultColWidth="10.83203125" defaultRowHeight="15" x14ac:dyDescent="0.2"/>
  <cols>
    <col min="1" max="1" width="2.6640625" customWidth="1"/>
    <col min="4" max="4" width="16.83203125" bestFit="1" customWidth="1"/>
    <col min="7" max="7" width="14.6640625" customWidth="1"/>
    <col min="8" max="8" width="16.83203125" customWidth="1"/>
    <col min="9" max="9" width="18.5" customWidth="1"/>
    <col min="10" max="10" width="19.83203125" customWidth="1"/>
    <col min="11" max="11" width="15.5" customWidth="1"/>
    <col min="12" max="12" width="21" customWidth="1"/>
    <col min="16" max="16" width="11.6640625" customWidth="1"/>
    <col min="31" max="31" width="12.33203125" bestFit="1" customWidth="1"/>
    <col min="45" max="45" width="15.1640625" customWidth="1"/>
    <col min="51" max="51" width="14.6640625" customWidth="1"/>
    <col min="60" max="60" width="11.6640625" customWidth="1"/>
  </cols>
  <sheetData>
    <row r="1" spans="2:66" ht="23" x14ac:dyDescent="0.25">
      <c r="H1" s="82" t="s">
        <v>356</v>
      </c>
      <c r="P1" s="83" t="s">
        <v>360</v>
      </c>
      <c r="AE1" s="85" t="s">
        <v>361</v>
      </c>
      <c r="AS1" s="90" t="s">
        <v>363</v>
      </c>
      <c r="BH1" s="85" t="s">
        <v>366</v>
      </c>
    </row>
    <row r="2" spans="2:66" x14ac:dyDescent="0.2">
      <c r="P2" s="73" t="s">
        <v>227</v>
      </c>
      <c r="Q2" s="73" t="s">
        <v>58</v>
      </c>
      <c r="R2" s="73" t="s">
        <v>228</v>
      </c>
      <c r="S2" s="73" t="s">
        <v>359</v>
      </c>
      <c r="T2" s="73"/>
      <c r="U2" s="73"/>
      <c r="V2" s="73"/>
      <c r="AE2" s="73" t="s">
        <v>227</v>
      </c>
      <c r="AF2" s="73" t="s">
        <v>58</v>
      </c>
      <c r="AG2" s="73" t="s">
        <v>228</v>
      </c>
      <c r="AH2" s="73" t="s">
        <v>335</v>
      </c>
      <c r="AI2" s="73"/>
      <c r="AJ2" s="73"/>
      <c r="AK2" s="73"/>
      <c r="AS2" s="73" t="s">
        <v>227</v>
      </c>
      <c r="AT2" s="73" t="s">
        <v>58</v>
      </c>
      <c r="AU2" s="73" t="s">
        <v>228</v>
      </c>
      <c r="AV2" s="73" t="s">
        <v>335</v>
      </c>
      <c r="AW2" s="73"/>
      <c r="AX2" s="73"/>
      <c r="AY2" s="73"/>
      <c r="BH2" s="73" t="s">
        <v>227</v>
      </c>
      <c r="BI2" s="73" t="s">
        <v>58</v>
      </c>
      <c r="BJ2" s="73" t="s">
        <v>228</v>
      </c>
      <c r="BK2" s="73" t="s">
        <v>335</v>
      </c>
      <c r="BL2" s="73"/>
      <c r="BM2" s="73"/>
      <c r="BN2" s="73"/>
    </row>
    <row r="3" spans="2:66" x14ac:dyDescent="0.2">
      <c r="C3" s="80" t="s">
        <v>337</v>
      </c>
      <c r="D3" s="80" t="s">
        <v>338</v>
      </c>
      <c r="E3" s="80" t="s">
        <v>339</v>
      </c>
      <c r="F3" s="80" t="s">
        <v>340</v>
      </c>
      <c r="G3" s="80" t="s">
        <v>341</v>
      </c>
      <c r="H3" s="80" t="s">
        <v>342</v>
      </c>
      <c r="I3" s="80" t="s">
        <v>343</v>
      </c>
      <c r="J3" s="80" t="s">
        <v>344</v>
      </c>
      <c r="K3" s="80" t="s">
        <v>345</v>
      </c>
      <c r="L3" s="80" t="s">
        <v>346</v>
      </c>
      <c r="M3" s="80" t="s">
        <v>347</v>
      </c>
      <c r="P3" s="73" t="s">
        <v>231</v>
      </c>
      <c r="Q3" s="78">
        <v>5730.5</v>
      </c>
      <c r="R3" s="79">
        <v>-8.9999999999999998E-4</v>
      </c>
      <c r="S3" s="75"/>
      <c r="T3" s="75"/>
      <c r="U3" s="76"/>
      <c r="V3" s="79"/>
      <c r="AE3" s="73" t="s">
        <v>231</v>
      </c>
      <c r="AF3" s="87">
        <v>659.3</v>
      </c>
      <c r="AG3" s="79">
        <v>-1.1000000000000001E-3</v>
      </c>
      <c r="AH3" s="76"/>
      <c r="AI3" s="76"/>
      <c r="AJ3" s="76"/>
      <c r="AK3" s="79"/>
      <c r="AS3" s="73" t="s">
        <v>231</v>
      </c>
      <c r="AT3" s="87">
        <v>490.85</v>
      </c>
      <c r="AU3" s="79">
        <v>-1.6799999999999999E-2</v>
      </c>
      <c r="AV3" s="76"/>
      <c r="AW3" s="76"/>
      <c r="AX3" s="76"/>
      <c r="AY3" s="79"/>
      <c r="BH3" s="73" t="s">
        <v>231</v>
      </c>
      <c r="BI3" s="87">
        <v>275</v>
      </c>
      <c r="BJ3" s="79">
        <v>-3.0499999999999999E-2</v>
      </c>
      <c r="BK3" s="76"/>
      <c r="BL3" s="76"/>
      <c r="BM3" s="76"/>
      <c r="BN3" s="79"/>
    </row>
    <row r="4" spans="2:66" x14ac:dyDescent="0.2">
      <c r="C4" s="81">
        <v>1</v>
      </c>
      <c r="D4" s="84" t="s">
        <v>348</v>
      </c>
      <c r="E4" s="81">
        <v>1419</v>
      </c>
      <c r="F4" s="81">
        <v>79.28</v>
      </c>
      <c r="G4" s="81">
        <v>273627.84999999998</v>
      </c>
      <c r="H4" s="81">
        <v>0.95</v>
      </c>
      <c r="I4" s="81">
        <v>1114.1099999999999</v>
      </c>
      <c r="J4" s="81">
        <v>28.84</v>
      </c>
      <c r="K4" s="81">
        <v>6747.79</v>
      </c>
      <c r="L4" s="81">
        <v>22.6</v>
      </c>
      <c r="M4" s="81">
        <v>84.21</v>
      </c>
      <c r="P4" s="73" t="s">
        <v>232</v>
      </c>
      <c r="Q4" s="74">
        <v>5735.5</v>
      </c>
      <c r="R4" s="77">
        <v>3.2000000000000001E-2</v>
      </c>
      <c r="S4" s="75">
        <f>Q4/Q3-1</f>
        <v>8.7252421254691015E-4</v>
      </c>
      <c r="T4" s="75"/>
      <c r="U4" s="76"/>
      <c r="V4" s="77"/>
      <c r="AE4" s="73" t="s">
        <v>232</v>
      </c>
      <c r="AF4" s="86">
        <v>660.05</v>
      </c>
      <c r="AG4" s="77">
        <v>3.04E-2</v>
      </c>
      <c r="AH4" s="88">
        <f>AF4/AF3-1</f>
        <v>1.1375701501592506E-3</v>
      </c>
      <c r="AI4" s="76"/>
      <c r="AJ4" s="76"/>
      <c r="AK4" s="77"/>
      <c r="AS4" s="73" t="s">
        <v>232</v>
      </c>
      <c r="AT4" s="86">
        <v>499.25</v>
      </c>
      <c r="AU4" s="77">
        <v>1.9400000000000001E-2</v>
      </c>
      <c r="AV4" s="88">
        <f>AT4/AT3-1</f>
        <v>1.7113171029846219E-2</v>
      </c>
      <c r="AW4" s="76"/>
      <c r="AX4" s="76"/>
      <c r="AY4" s="77"/>
      <c r="BH4" s="73" t="s">
        <v>232</v>
      </c>
      <c r="BI4" s="86">
        <v>283.64999999999998</v>
      </c>
      <c r="BJ4" s="77">
        <v>7.0599999999999996E-2</v>
      </c>
      <c r="BK4" s="88">
        <f>BI4/BI3-1</f>
        <v>3.1454545454545402E-2</v>
      </c>
      <c r="BL4" s="76"/>
      <c r="BM4" s="76"/>
      <c r="BN4" s="77"/>
    </row>
    <row r="5" spans="2:66" x14ac:dyDescent="0.2">
      <c r="C5" s="62">
        <v>2</v>
      </c>
      <c r="D5" s="84" t="s">
        <v>349</v>
      </c>
      <c r="E5" s="62">
        <v>5692</v>
      </c>
      <c r="F5" s="62">
        <v>56.78</v>
      </c>
      <c r="G5" s="62">
        <v>137102.24</v>
      </c>
      <c r="H5" s="62">
        <v>1.31</v>
      </c>
      <c r="I5" s="62">
        <v>682.14</v>
      </c>
      <c r="J5" s="62">
        <v>16.89</v>
      </c>
      <c r="K5" s="62">
        <v>4969.82</v>
      </c>
      <c r="L5" s="62">
        <v>8.2100000000000009</v>
      </c>
      <c r="M5" s="62">
        <v>52.99</v>
      </c>
      <c r="P5" s="73" t="s">
        <v>233</v>
      </c>
      <c r="Q5" s="74">
        <v>5557.5</v>
      </c>
      <c r="R5" s="77">
        <v>2.12E-2</v>
      </c>
      <c r="S5" s="75">
        <f t="shared" ref="S5:S68" si="0">Q5/Q4-1</f>
        <v>-3.1034783366750918E-2</v>
      </c>
      <c r="T5" s="75"/>
      <c r="U5" s="76"/>
      <c r="V5" s="77"/>
      <c r="AE5" s="73" t="s">
        <v>233</v>
      </c>
      <c r="AF5" s="86">
        <v>640.6</v>
      </c>
      <c r="AG5" s="77">
        <v>2.1700000000000001E-2</v>
      </c>
      <c r="AH5" s="88">
        <f t="shared" ref="AH5:AH68" si="1">AF5/AF4-1</f>
        <v>-2.9467464586016123E-2</v>
      </c>
      <c r="AI5" s="76"/>
      <c r="AJ5" s="76"/>
      <c r="AK5" s="77"/>
      <c r="AS5" s="73" t="s">
        <v>233</v>
      </c>
      <c r="AT5" s="86">
        <v>489.75</v>
      </c>
      <c r="AU5" s="77">
        <v>0.10539999999999999</v>
      </c>
      <c r="AV5" s="88">
        <f t="shared" ref="AV5:AV68" si="2">AT5/AT4-1</f>
        <v>-1.9028542814221283E-2</v>
      </c>
      <c r="AW5" s="76"/>
      <c r="AX5" s="76"/>
      <c r="AY5" s="77"/>
      <c r="BH5" s="73" t="s">
        <v>233</v>
      </c>
      <c r="BI5" s="86">
        <v>264.95</v>
      </c>
      <c r="BJ5" s="77">
        <v>1.4200000000000001E-2</v>
      </c>
      <c r="BK5" s="88">
        <f t="shared" ref="BK5:BK68" si="3">BI5/BI4-1</f>
        <v>-6.5926317644985022E-2</v>
      </c>
      <c r="BL5" s="76"/>
      <c r="BM5" s="76"/>
      <c r="BN5" s="77"/>
    </row>
    <row r="6" spans="2:66" x14ac:dyDescent="0.2">
      <c r="C6" s="62">
        <v>3</v>
      </c>
      <c r="D6" s="84" t="s">
        <v>350</v>
      </c>
      <c r="E6" s="62">
        <v>677.8</v>
      </c>
      <c r="F6" s="62">
        <v>68.06</v>
      </c>
      <c r="G6" s="62">
        <v>16994.87</v>
      </c>
      <c r="H6" s="62">
        <v>0.14000000000000001</v>
      </c>
      <c r="I6" s="62">
        <v>62.17</v>
      </c>
      <c r="J6" s="62">
        <v>117.64</v>
      </c>
      <c r="K6" s="62">
        <v>790.01</v>
      </c>
      <c r="L6" s="62">
        <v>10.51</v>
      </c>
      <c r="M6" s="62">
        <v>18.16</v>
      </c>
      <c r="P6" s="73" t="s">
        <v>234</v>
      </c>
      <c r="Q6" s="78">
        <v>5442</v>
      </c>
      <c r="R6" s="79">
        <v>-1.0500000000000001E-2</v>
      </c>
      <c r="S6" s="75">
        <f t="shared" si="0"/>
        <v>-2.0782726045883937E-2</v>
      </c>
      <c r="T6" s="75"/>
      <c r="U6" s="76"/>
      <c r="V6" s="79"/>
      <c r="AE6" s="73" t="s">
        <v>234</v>
      </c>
      <c r="AF6" s="86">
        <v>627</v>
      </c>
      <c r="AG6" s="77">
        <v>1.6199999999999999E-2</v>
      </c>
      <c r="AH6" s="88">
        <f t="shared" si="1"/>
        <v>-2.1230096784264796E-2</v>
      </c>
      <c r="AI6" s="76"/>
      <c r="AJ6" s="76"/>
      <c r="AK6" s="77"/>
      <c r="AS6" s="73" t="s">
        <v>234</v>
      </c>
      <c r="AT6" s="87">
        <v>443.05</v>
      </c>
      <c r="AU6" s="79">
        <v>-6.7999999999999996E-3</v>
      </c>
      <c r="AV6" s="88">
        <f t="shared" si="2"/>
        <v>-9.5354772843287416E-2</v>
      </c>
      <c r="AW6" s="76"/>
      <c r="AX6" s="76"/>
      <c r="AY6" s="79"/>
      <c r="BH6" s="73" t="s">
        <v>234</v>
      </c>
      <c r="BI6" s="86">
        <v>261.25</v>
      </c>
      <c r="BJ6" s="77">
        <v>4.02E-2</v>
      </c>
      <c r="BK6" s="88">
        <f t="shared" si="3"/>
        <v>-1.3964899037554268E-2</v>
      </c>
      <c r="BL6" s="76"/>
      <c r="BM6" s="76"/>
      <c r="BN6" s="77"/>
    </row>
    <row r="7" spans="2:66" x14ac:dyDescent="0.2">
      <c r="C7" s="62">
        <v>4</v>
      </c>
      <c r="D7" s="84" t="s">
        <v>351</v>
      </c>
      <c r="E7" s="62">
        <v>496.7</v>
      </c>
      <c r="F7" s="62">
        <v>65.739999999999995</v>
      </c>
      <c r="G7" s="62">
        <v>15803.02</v>
      </c>
      <c r="H7" s="62">
        <v>0.24</v>
      </c>
      <c r="I7" s="62">
        <v>-39.9</v>
      </c>
      <c r="J7" s="62">
        <v>-643.12</v>
      </c>
      <c r="K7" s="62">
        <v>964.9</v>
      </c>
      <c r="L7" s="62">
        <v>108.9</v>
      </c>
      <c r="M7" s="62">
        <v>6.16</v>
      </c>
      <c r="P7" s="73" t="s">
        <v>235</v>
      </c>
      <c r="Q7" s="78">
        <v>5500</v>
      </c>
      <c r="R7" s="79">
        <v>-2.1100000000000001E-2</v>
      </c>
      <c r="S7" s="75">
        <f t="shared" si="0"/>
        <v>1.065784638000733E-2</v>
      </c>
      <c r="T7" s="75"/>
      <c r="U7" t="s">
        <v>201</v>
      </c>
      <c r="AE7" s="73" t="s">
        <v>235</v>
      </c>
      <c r="AF7" s="87">
        <v>617</v>
      </c>
      <c r="AG7" s="79">
        <v>-2.0199999999999999E-2</v>
      </c>
      <c r="AH7" s="88">
        <f t="shared" si="1"/>
        <v>-1.5948963317384379E-2</v>
      </c>
      <c r="AI7" s="76"/>
      <c r="AJ7" s="76"/>
      <c r="AK7" s="79"/>
      <c r="AS7" s="73" t="s">
        <v>235</v>
      </c>
      <c r="AT7" s="86">
        <v>446.1</v>
      </c>
      <c r="AU7" s="77">
        <v>5.0500000000000003E-2</v>
      </c>
      <c r="AV7" s="88">
        <f t="shared" si="2"/>
        <v>6.8840988601737152E-3</v>
      </c>
      <c r="AW7" s="76"/>
      <c r="AX7" s="76"/>
      <c r="AY7" s="77"/>
      <c r="BH7" s="73" t="s">
        <v>235</v>
      </c>
      <c r="BI7" s="87">
        <v>251.15</v>
      </c>
      <c r="BJ7" s="79">
        <v>-8.0399999999999999E-2</v>
      </c>
      <c r="BK7" s="88">
        <f t="shared" si="3"/>
        <v>-3.8660287081339728E-2</v>
      </c>
      <c r="BL7" s="76"/>
      <c r="BM7" s="76"/>
      <c r="BN7" s="79"/>
    </row>
    <row r="8" spans="2:66" ht="16" thickBot="1" x14ac:dyDescent="0.25">
      <c r="B8" s="97" t="s">
        <v>365</v>
      </c>
      <c r="C8" s="62">
        <v>5</v>
      </c>
      <c r="D8" s="84" t="s">
        <v>352</v>
      </c>
      <c r="E8" s="62">
        <v>1515.1</v>
      </c>
      <c r="F8" s="62">
        <v>9.73</v>
      </c>
      <c r="G8" s="62">
        <v>10571.15</v>
      </c>
      <c r="H8" s="62">
        <v>1.1100000000000001</v>
      </c>
      <c r="I8" s="62">
        <v>654.82000000000005</v>
      </c>
      <c r="J8" s="62">
        <v>-9.43</v>
      </c>
      <c r="K8" s="62">
        <v>5065.8900000000003</v>
      </c>
      <c r="L8" s="62">
        <v>8.1300000000000008</v>
      </c>
      <c r="M8" s="62">
        <v>35.520000000000003</v>
      </c>
      <c r="P8" s="73" t="s">
        <v>236</v>
      </c>
      <c r="Q8" s="78">
        <v>5618.5</v>
      </c>
      <c r="R8" s="79">
        <v>-3.27E-2</v>
      </c>
      <c r="S8" s="75">
        <f t="shared" si="0"/>
        <v>2.1545454545454534E-2</v>
      </c>
      <c r="T8" s="75"/>
      <c r="AE8" s="73" t="s">
        <v>236</v>
      </c>
      <c r="AF8" s="86">
        <v>629.70000000000005</v>
      </c>
      <c r="AG8" s="77">
        <v>4.3499999999999997E-2</v>
      </c>
      <c r="AH8" s="88">
        <f t="shared" si="1"/>
        <v>2.058346839546199E-2</v>
      </c>
      <c r="AI8" t="s">
        <v>201</v>
      </c>
      <c r="AS8" s="73" t="s">
        <v>236</v>
      </c>
      <c r="AT8" s="86">
        <v>424.65</v>
      </c>
      <c r="AU8" s="77">
        <v>5.0500000000000003E-2</v>
      </c>
      <c r="AV8" s="88">
        <f t="shared" si="2"/>
        <v>-4.8083389374579788E-2</v>
      </c>
      <c r="AW8" t="s">
        <v>201</v>
      </c>
      <c r="BH8" s="73" t="s">
        <v>236</v>
      </c>
      <c r="BI8" s="86">
        <v>273.10000000000002</v>
      </c>
      <c r="BJ8" s="77">
        <v>1.37E-2</v>
      </c>
      <c r="BK8" s="88">
        <f t="shared" si="3"/>
        <v>8.739796934103139E-2</v>
      </c>
      <c r="BL8" s="76"/>
      <c r="BM8" s="76"/>
      <c r="BN8" s="77"/>
    </row>
    <row r="9" spans="2:66" ht="16" thickBot="1" x14ac:dyDescent="0.25">
      <c r="B9" s="97" t="s">
        <v>365</v>
      </c>
      <c r="C9" s="62">
        <v>6</v>
      </c>
      <c r="D9" s="84" t="s">
        <v>353</v>
      </c>
      <c r="E9" s="62">
        <v>197.05</v>
      </c>
      <c r="F9" s="62">
        <v>51.43</v>
      </c>
      <c r="G9" s="62">
        <v>6049.25</v>
      </c>
      <c r="H9" s="62">
        <v>0.6</v>
      </c>
      <c r="I9" s="62">
        <v>33.14</v>
      </c>
      <c r="J9" s="62">
        <v>21.13</v>
      </c>
      <c r="K9" s="62">
        <v>496.65</v>
      </c>
      <c r="L9" s="62">
        <v>8.5399999999999991</v>
      </c>
      <c r="M9" s="62">
        <v>16.39</v>
      </c>
      <c r="P9" s="73" t="s">
        <v>237</v>
      </c>
      <c r="Q9" s="78">
        <v>5808.5</v>
      </c>
      <c r="R9" s="79">
        <v>-2.92E-2</v>
      </c>
      <c r="S9" s="75">
        <f t="shared" si="0"/>
        <v>3.3816855032481996E-2</v>
      </c>
      <c r="T9" s="75"/>
      <c r="U9" s="68" t="s">
        <v>202</v>
      </c>
      <c r="V9" s="68"/>
      <c r="AE9" s="73" t="s">
        <v>237</v>
      </c>
      <c r="AF9" s="87">
        <v>603.45000000000005</v>
      </c>
      <c r="AG9" s="79">
        <v>-1.77E-2</v>
      </c>
      <c r="AH9" s="88">
        <f t="shared" si="1"/>
        <v>-4.1686517389233013E-2</v>
      </c>
      <c r="AS9" s="73" t="s">
        <v>237</v>
      </c>
      <c r="AT9" s="86">
        <v>404.25</v>
      </c>
      <c r="AU9" s="77">
        <v>6.0499999999999998E-2</v>
      </c>
      <c r="AV9" s="88">
        <f t="shared" si="2"/>
        <v>-4.8039561992228808E-2</v>
      </c>
      <c r="BH9" s="73" t="s">
        <v>237</v>
      </c>
      <c r="BI9" s="87">
        <v>269.39999999999998</v>
      </c>
      <c r="BJ9" s="79">
        <v>-8.3400000000000002E-2</v>
      </c>
      <c r="BK9" s="88">
        <f t="shared" si="3"/>
        <v>-1.3548150860490882E-2</v>
      </c>
      <c r="BL9" t="s">
        <v>201</v>
      </c>
    </row>
    <row r="10" spans="2:66" ht="16" thickBot="1" x14ac:dyDescent="0.25">
      <c r="C10" s="62">
        <v>7</v>
      </c>
      <c r="D10" s="84" t="s">
        <v>354</v>
      </c>
      <c r="E10" s="62">
        <v>276.55</v>
      </c>
      <c r="F10" s="62">
        <v>97.35</v>
      </c>
      <c r="G10" s="62">
        <v>3446.45</v>
      </c>
      <c r="H10" s="62">
        <v>0.36</v>
      </c>
      <c r="I10" s="62">
        <v>15.49</v>
      </c>
      <c r="J10" s="62">
        <v>190.04</v>
      </c>
      <c r="K10" s="62">
        <v>400.76</v>
      </c>
      <c r="L10" s="62">
        <v>1.83</v>
      </c>
      <c r="M10" s="62">
        <v>16.309999999999999</v>
      </c>
      <c r="P10" s="73" t="s">
        <v>238</v>
      </c>
      <c r="Q10" s="78">
        <v>5983</v>
      </c>
      <c r="R10" s="79">
        <v>-3.2000000000000002E-3</v>
      </c>
      <c r="S10" s="75">
        <f t="shared" si="0"/>
        <v>3.0042179564431448E-2</v>
      </c>
      <c r="T10" s="75"/>
      <c r="U10" t="s">
        <v>203</v>
      </c>
      <c r="V10">
        <v>0.32251588700446143</v>
      </c>
      <c r="AE10" s="73" t="s">
        <v>238</v>
      </c>
      <c r="AF10" s="87">
        <v>614.35</v>
      </c>
      <c r="AG10" s="79">
        <v>-3.73E-2</v>
      </c>
      <c r="AH10" s="88">
        <f t="shared" si="1"/>
        <v>1.8062805534841297E-2</v>
      </c>
      <c r="AI10" s="68" t="s">
        <v>202</v>
      </c>
      <c r="AJ10" s="68"/>
      <c r="AS10" s="73" t="s">
        <v>238</v>
      </c>
      <c r="AT10" s="87">
        <v>381.2</v>
      </c>
      <c r="AU10" s="79">
        <v>-9.5999999999999992E-3</v>
      </c>
      <c r="AV10" s="88">
        <f t="shared" si="2"/>
        <v>-5.7019171304885652E-2</v>
      </c>
      <c r="AW10" s="68" t="s">
        <v>202</v>
      </c>
      <c r="AX10" s="68"/>
      <c r="BH10" s="73" t="s">
        <v>238</v>
      </c>
      <c r="BI10" s="87">
        <v>293.89999999999998</v>
      </c>
      <c r="BJ10" s="79">
        <v>-1.54E-2</v>
      </c>
      <c r="BK10" s="88">
        <f t="shared" si="3"/>
        <v>9.0942835931700161E-2</v>
      </c>
    </row>
    <row r="11" spans="2:66" x14ac:dyDescent="0.2">
      <c r="C11" s="81"/>
      <c r="D11" s="81" t="s">
        <v>355</v>
      </c>
      <c r="E11" s="81">
        <v>246.9</v>
      </c>
      <c r="F11" s="81">
        <v>56.78</v>
      </c>
      <c r="G11" s="81">
        <v>612.57000000000005</v>
      </c>
      <c r="H11" s="81">
        <v>0.05</v>
      </c>
      <c r="I11" s="81">
        <v>3.19</v>
      </c>
      <c r="J11" s="81">
        <v>16.89</v>
      </c>
      <c r="K11" s="81">
        <v>176.99</v>
      </c>
      <c r="L11" s="81">
        <v>8.6999999999999993</v>
      </c>
      <c r="M11" s="81">
        <v>16.309999999999999</v>
      </c>
      <c r="P11" s="73" t="s">
        <v>239</v>
      </c>
      <c r="Q11" s="78">
        <v>6002.5</v>
      </c>
      <c r="R11" s="79">
        <v>-1.5699999999999999E-2</v>
      </c>
      <c r="S11" s="75">
        <f t="shared" si="0"/>
        <v>3.2592344977435683E-3</v>
      </c>
      <c r="T11" s="75"/>
      <c r="U11" t="s">
        <v>204</v>
      </c>
      <c r="V11">
        <v>0.10401649737027455</v>
      </c>
      <c r="AE11" s="73" t="s">
        <v>239</v>
      </c>
      <c r="AF11" s="86">
        <v>638.15</v>
      </c>
      <c r="AG11" s="77">
        <v>4.4000000000000003E-3</v>
      </c>
      <c r="AH11" s="88">
        <f t="shared" si="1"/>
        <v>3.8740131846667136E-2</v>
      </c>
      <c r="AI11" t="s">
        <v>203</v>
      </c>
      <c r="AJ11">
        <v>0.38573000745001196</v>
      </c>
      <c r="AS11" s="73" t="s">
        <v>239</v>
      </c>
      <c r="AT11" s="87">
        <v>384.9</v>
      </c>
      <c r="AU11" s="79">
        <v>-3.5900000000000001E-2</v>
      </c>
      <c r="AV11" s="88">
        <f t="shared" si="2"/>
        <v>9.7061909758655585E-3</v>
      </c>
      <c r="AW11" t="s">
        <v>203</v>
      </c>
      <c r="AX11">
        <v>0.33541326153818357</v>
      </c>
      <c r="BH11" s="73" t="s">
        <v>239</v>
      </c>
      <c r="BI11" s="87">
        <v>298.5</v>
      </c>
      <c r="BJ11" s="79">
        <v>-4.19E-2</v>
      </c>
      <c r="BK11" s="88">
        <f t="shared" si="3"/>
        <v>1.5651582170806533E-2</v>
      </c>
      <c r="BL11" s="68" t="s">
        <v>202</v>
      </c>
      <c r="BM11" s="68"/>
    </row>
    <row r="12" spans="2:66" x14ac:dyDescent="0.2">
      <c r="P12" s="73" t="s">
        <v>240</v>
      </c>
      <c r="Q12" s="74">
        <v>6098.5</v>
      </c>
      <c r="R12" s="77">
        <v>1.9699999999999999E-2</v>
      </c>
      <c r="S12" s="75">
        <f t="shared" si="0"/>
        <v>1.5993336109954237E-2</v>
      </c>
      <c r="T12" s="75"/>
      <c r="U12" t="s">
        <v>205</v>
      </c>
      <c r="V12">
        <v>9.5056662343977291E-2</v>
      </c>
      <c r="AE12" s="73" t="s">
        <v>240</v>
      </c>
      <c r="AF12" s="87">
        <v>635.35</v>
      </c>
      <c r="AG12" s="79">
        <v>-6.8999999999999999E-3</v>
      </c>
      <c r="AH12" s="88">
        <f t="shared" si="1"/>
        <v>-4.3876831465955446E-3</v>
      </c>
      <c r="AI12" t="s">
        <v>204</v>
      </c>
      <c r="AJ12">
        <v>0.14878763864738628</v>
      </c>
      <c r="AS12" s="73" t="s">
        <v>240</v>
      </c>
      <c r="AT12" s="87">
        <v>399.25</v>
      </c>
      <c r="AU12" s="79">
        <v>-1.9800000000000002E-2</v>
      </c>
      <c r="AV12" s="88">
        <f t="shared" si="2"/>
        <v>3.7282411015848282E-2</v>
      </c>
      <c r="AW12" t="s">
        <v>204</v>
      </c>
      <c r="AX12">
        <v>0.11250205601568194</v>
      </c>
      <c r="BH12" s="73" t="s">
        <v>240</v>
      </c>
      <c r="BI12" s="86">
        <v>311.55</v>
      </c>
      <c r="BJ12" s="77">
        <v>4.0399999999999998E-2</v>
      </c>
      <c r="BK12" s="88">
        <f t="shared" si="3"/>
        <v>4.3718592964824055E-2</v>
      </c>
      <c r="BL12" t="s">
        <v>203</v>
      </c>
      <c r="BM12">
        <v>0.35327290272379286</v>
      </c>
    </row>
    <row r="13" spans="2:66" x14ac:dyDescent="0.2">
      <c r="P13" s="73" t="s">
        <v>241</v>
      </c>
      <c r="Q13" s="74">
        <v>5980.5</v>
      </c>
      <c r="R13" s="77">
        <v>1.18E-2</v>
      </c>
      <c r="S13" s="75">
        <f t="shared" si="0"/>
        <v>-1.9349020250881366E-2</v>
      </c>
      <c r="T13" s="75"/>
      <c r="U13" t="s">
        <v>206</v>
      </c>
      <c r="V13">
        <v>2.9852361192914293E-2</v>
      </c>
      <c r="AE13" s="73" t="s">
        <v>241</v>
      </c>
      <c r="AF13" s="87">
        <v>639.75</v>
      </c>
      <c r="AG13" s="79">
        <v>-1.54E-2</v>
      </c>
      <c r="AH13" s="88">
        <f t="shared" si="1"/>
        <v>6.9253167545446637E-3</v>
      </c>
      <c r="AI13" t="s">
        <v>205</v>
      </c>
      <c r="AJ13">
        <v>0.14027551503386015</v>
      </c>
      <c r="AS13" s="73" t="s">
        <v>241</v>
      </c>
      <c r="AT13" s="86">
        <v>407.3</v>
      </c>
      <c r="AU13" s="77">
        <v>4.8099999999999997E-2</v>
      </c>
      <c r="AV13" s="88">
        <f t="shared" si="2"/>
        <v>2.016280525986236E-2</v>
      </c>
      <c r="AW13" t="s">
        <v>205</v>
      </c>
      <c r="AX13">
        <v>0.10362707657583875</v>
      </c>
      <c r="BH13" s="73" t="s">
        <v>241</v>
      </c>
      <c r="BI13" s="87">
        <v>299.45</v>
      </c>
      <c r="BJ13" s="79">
        <v>-3.3E-3</v>
      </c>
      <c r="BK13" s="88">
        <f t="shared" si="3"/>
        <v>-3.8838067725886716E-2</v>
      </c>
      <c r="BL13" t="s">
        <v>204</v>
      </c>
      <c r="BM13">
        <v>0.1248017437988944</v>
      </c>
    </row>
    <row r="14" spans="2:66" ht="16" thickBot="1" x14ac:dyDescent="0.25">
      <c r="E14" s="97" t="s">
        <v>358</v>
      </c>
      <c r="P14" s="73" t="s">
        <v>229</v>
      </c>
      <c r="Q14" s="74">
        <v>5911</v>
      </c>
      <c r="R14" s="77">
        <v>8.6E-3</v>
      </c>
      <c r="S14" s="75">
        <f t="shared" si="0"/>
        <v>-1.1621101914555676E-2</v>
      </c>
      <c r="T14" s="75"/>
      <c r="U14" s="69" t="s">
        <v>207</v>
      </c>
      <c r="V14" s="69">
        <v>102</v>
      </c>
      <c r="AE14" s="73" t="s">
        <v>229</v>
      </c>
      <c r="AF14" s="87">
        <v>649.75</v>
      </c>
      <c r="AG14" s="79">
        <v>-1.23E-2</v>
      </c>
      <c r="AH14" s="88">
        <f t="shared" si="1"/>
        <v>1.563110590074257E-2</v>
      </c>
      <c r="AI14" t="s">
        <v>206</v>
      </c>
      <c r="AJ14">
        <v>4.1749260338879941E-2</v>
      </c>
      <c r="AS14" s="73" t="s">
        <v>229</v>
      </c>
      <c r="AT14" s="87">
        <v>388.6</v>
      </c>
      <c r="AU14" s="79">
        <v>-0.13320000000000001</v>
      </c>
      <c r="AV14" s="88">
        <f t="shared" si="2"/>
        <v>-4.591210410017188E-2</v>
      </c>
      <c r="AW14" t="s">
        <v>206</v>
      </c>
      <c r="AX14">
        <v>4.4684252706518358E-2</v>
      </c>
      <c r="BH14" s="73" t="s">
        <v>229</v>
      </c>
      <c r="BI14" s="86">
        <v>300.45</v>
      </c>
      <c r="BJ14" s="77">
        <v>1.1999999999999999E-3</v>
      </c>
      <c r="BK14" s="88">
        <f t="shared" si="3"/>
        <v>3.3394556687260657E-3</v>
      </c>
      <c r="BL14" t="s">
        <v>205</v>
      </c>
      <c r="BM14">
        <v>0.11604976123688335</v>
      </c>
    </row>
    <row r="15" spans="2:66" ht="16" thickBot="1" x14ac:dyDescent="0.25">
      <c r="D15" s="99" t="s">
        <v>348</v>
      </c>
      <c r="E15" s="83">
        <f>SLOPE('% Change'!D5:D107,'% Change'!H5:H107)</f>
        <v>0.75565254189856446</v>
      </c>
      <c r="P15" s="73" t="s">
        <v>242</v>
      </c>
      <c r="Q15" s="74">
        <v>5860.5</v>
      </c>
      <c r="R15" s="77">
        <v>4.4000000000000003E-3</v>
      </c>
      <c r="S15" s="75">
        <f t="shared" si="0"/>
        <v>-8.5433936728134263E-3</v>
      </c>
      <c r="T15" s="75"/>
      <c r="AE15" s="73" t="s">
        <v>242</v>
      </c>
      <c r="AF15" s="86">
        <v>657.85</v>
      </c>
      <c r="AG15" s="77">
        <v>1.0699999999999999E-2</v>
      </c>
      <c r="AH15" s="88">
        <f t="shared" si="1"/>
        <v>1.246633320507895E-2</v>
      </c>
      <c r="AI15" s="69" t="s">
        <v>207</v>
      </c>
      <c r="AJ15" s="69">
        <v>102</v>
      </c>
      <c r="AS15" s="73" t="s">
        <v>242</v>
      </c>
      <c r="AT15" s="86">
        <v>448.3</v>
      </c>
      <c r="AU15" s="77">
        <v>7.1099999999999997E-2</v>
      </c>
      <c r="AV15" s="88">
        <f t="shared" si="2"/>
        <v>0.15362840967575919</v>
      </c>
      <c r="AW15" s="69" t="s">
        <v>207</v>
      </c>
      <c r="AX15" s="69">
        <v>102</v>
      </c>
      <c r="BH15" s="73" t="s">
        <v>242</v>
      </c>
      <c r="BI15" s="86">
        <v>300.10000000000002</v>
      </c>
      <c r="BJ15" s="77">
        <v>1.3899999999999999E-2</v>
      </c>
      <c r="BK15" s="88">
        <f t="shared" si="3"/>
        <v>-1.164919287734989E-3</v>
      </c>
      <c r="BL15" t="s">
        <v>206</v>
      </c>
      <c r="BM15">
        <v>4.7867877915141209E-2</v>
      </c>
    </row>
    <row r="16" spans="2:66" ht="16" thickBot="1" x14ac:dyDescent="0.25">
      <c r="D16" s="99" t="s">
        <v>349</v>
      </c>
      <c r="E16" s="83">
        <f>SLOPE(S4:S106,'% Change'!H5:H107)</f>
        <v>0.53478666809016817</v>
      </c>
      <c r="P16" s="73" t="s">
        <v>243</v>
      </c>
      <c r="Q16" s="78">
        <v>5835</v>
      </c>
      <c r="R16" s="79">
        <v>-1.0800000000000001E-2</v>
      </c>
      <c r="S16" s="75">
        <f t="shared" si="0"/>
        <v>-4.3511645764012785E-3</v>
      </c>
      <c r="T16" s="75"/>
      <c r="U16" t="s">
        <v>208</v>
      </c>
      <c r="AE16" s="73" t="s">
        <v>243</v>
      </c>
      <c r="AF16" s="87">
        <v>650.9</v>
      </c>
      <c r="AG16" s="79">
        <v>-6.9699999999999998E-2</v>
      </c>
      <c r="AH16" s="88">
        <f t="shared" si="1"/>
        <v>-1.0564718400851381E-2</v>
      </c>
      <c r="AS16" s="73" t="s">
        <v>243</v>
      </c>
      <c r="AT16" s="87">
        <v>418.55</v>
      </c>
      <c r="AU16" s="79">
        <v>-4.8099999999999997E-2</v>
      </c>
      <c r="AV16" s="88">
        <f t="shared" si="2"/>
        <v>-6.6361811287084516E-2</v>
      </c>
      <c r="BH16" s="73" t="s">
        <v>243</v>
      </c>
      <c r="BI16" s="87">
        <v>296</v>
      </c>
      <c r="BJ16" s="79">
        <v>-7.46E-2</v>
      </c>
      <c r="BK16" s="88">
        <f t="shared" si="3"/>
        <v>-1.3662112629123646E-2</v>
      </c>
      <c r="BL16" s="69" t="s">
        <v>207</v>
      </c>
      <c r="BM16" s="69">
        <v>102</v>
      </c>
    </row>
    <row r="17" spans="4:72" ht="16" thickBot="1" x14ac:dyDescent="0.25">
      <c r="D17" s="99" t="s">
        <v>350</v>
      </c>
      <c r="E17" s="83">
        <f>SLOPE(AH4:AH106,'% Change'!H5:H107)</f>
        <v>0.91697347535477569</v>
      </c>
      <c r="P17" s="73" t="s">
        <v>244</v>
      </c>
      <c r="Q17" s="78">
        <v>5898.5</v>
      </c>
      <c r="R17" s="79">
        <v>-1.32E-2</v>
      </c>
      <c r="S17" s="75">
        <f t="shared" si="0"/>
        <v>1.0882604970008591E-2</v>
      </c>
      <c r="T17" s="75"/>
      <c r="U17" s="71"/>
      <c r="V17" s="71" t="s">
        <v>209</v>
      </c>
      <c r="W17" s="71" t="s">
        <v>210</v>
      </c>
      <c r="X17" s="71" t="s">
        <v>211</v>
      </c>
      <c r="Y17" s="71" t="s">
        <v>212</v>
      </c>
      <c r="Z17" s="71" t="s">
        <v>213</v>
      </c>
      <c r="AE17" s="73" t="s">
        <v>244</v>
      </c>
      <c r="AF17" s="87">
        <v>699.7</v>
      </c>
      <c r="AG17" s="79">
        <v>-3.3999999999999998E-3</v>
      </c>
      <c r="AH17" s="88">
        <f t="shared" si="1"/>
        <v>7.4973114149639031E-2</v>
      </c>
      <c r="AI17" t="s">
        <v>208</v>
      </c>
      <c r="AS17" s="73" t="s">
        <v>244</v>
      </c>
      <c r="AT17" s="87">
        <v>439.7</v>
      </c>
      <c r="AU17" s="79">
        <v>-1.1599999999999999E-2</v>
      </c>
      <c r="AV17" s="88">
        <f t="shared" si="2"/>
        <v>5.053159718074296E-2</v>
      </c>
      <c r="AW17" t="s">
        <v>208</v>
      </c>
      <c r="BH17" s="73" t="s">
        <v>244</v>
      </c>
      <c r="BI17" s="87">
        <v>319.85000000000002</v>
      </c>
      <c r="BJ17" s="79">
        <v>-4.7999999999999996E-3</v>
      </c>
      <c r="BK17" s="88">
        <f t="shared" si="3"/>
        <v>8.0574324324324431E-2</v>
      </c>
    </row>
    <row r="18" spans="4:72" ht="16" thickBot="1" x14ac:dyDescent="0.25">
      <c r="D18" s="99" t="s">
        <v>351</v>
      </c>
      <c r="E18" s="83">
        <f>SLOPE(AV4:AV106,'% Change'!H5:H107)</f>
        <v>0.84414185651970408</v>
      </c>
      <c r="P18" s="73" t="s">
        <v>245</v>
      </c>
      <c r="Q18" s="78">
        <v>5977.5</v>
      </c>
      <c r="R18" s="79">
        <v>-1.1999999999999999E-3</v>
      </c>
      <c r="S18" s="75">
        <f t="shared" si="0"/>
        <v>1.3393235568364803E-2</v>
      </c>
      <c r="T18" s="75"/>
      <c r="U18" t="s">
        <v>214</v>
      </c>
      <c r="V18">
        <v>1</v>
      </c>
      <c r="W18">
        <v>1.0345693010646612E-2</v>
      </c>
      <c r="X18">
        <v>1.0345693010646612E-2</v>
      </c>
      <c r="Y18">
        <v>11.609197832882472</v>
      </c>
      <c r="Z18">
        <v>9.466793903539464E-4</v>
      </c>
      <c r="AE18" s="73" t="s">
        <v>245</v>
      </c>
      <c r="AF18" s="87">
        <v>702.1</v>
      </c>
      <c r="AG18" s="79">
        <v>-4.5499999999999999E-2</v>
      </c>
      <c r="AH18" s="88">
        <f t="shared" si="1"/>
        <v>3.4300414463341866E-3</v>
      </c>
      <c r="AI18" s="71"/>
      <c r="AJ18" s="71" t="s">
        <v>209</v>
      </c>
      <c r="AK18" s="71" t="s">
        <v>210</v>
      </c>
      <c r="AL18" s="71" t="s">
        <v>211</v>
      </c>
      <c r="AM18" s="71" t="s">
        <v>212</v>
      </c>
      <c r="AN18" s="71" t="s">
        <v>213</v>
      </c>
      <c r="AS18" s="73" t="s">
        <v>245</v>
      </c>
      <c r="AT18" s="87">
        <v>444.85</v>
      </c>
      <c r="AU18" s="79">
        <v>-5.6500000000000002E-2</v>
      </c>
      <c r="AV18" s="88">
        <f t="shared" si="2"/>
        <v>1.1712531271321325E-2</v>
      </c>
      <c r="AW18" s="71"/>
      <c r="AX18" s="71" t="s">
        <v>209</v>
      </c>
      <c r="AY18" s="71" t="s">
        <v>210</v>
      </c>
      <c r="AZ18" s="71" t="s">
        <v>211</v>
      </c>
      <c r="BA18" s="71" t="s">
        <v>212</v>
      </c>
      <c r="BB18" s="71" t="s">
        <v>213</v>
      </c>
      <c r="BH18" s="73" t="s">
        <v>245</v>
      </c>
      <c r="BI18" s="86">
        <v>321.39999999999998</v>
      </c>
      <c r="BJ18" s="77">
        <v>6.1000000000000004E-3</v>
      </c>
      <c r="BK18" s="88">
        <f t="shared" si="3"/>
        <v>4.846021572612047E-3</v>
      </c>
      <c r="BL18" t="s">
        <v>208</v>
      </c>
    </row>
    <row r="19" spans="4:72" x14ac:dyDescent="0.2">
      <c r="D19" s="99" t="s">
        <v>354</v>
      </c>
      <c r="E19" s="83">
        <f>SLOPE(BK4:BK106,'% Change'!H5:H107)</f>
        <v>0.96211318184155314</v>
      </c>
      <c r="P19" s="73" t="s">
        <v>246</v>
      </c>
      <c r="Q19" s="78">
        <v>5984.5</v>
      </c>
      <c r="R19" s="79">
        <v>-8.0000000000000002E-3</v>
      </c>
      <c r="S19" s="75">
        <f t="shared" si="0"/>
        <v>1.1710581346717763E-3</v>
      </c>
      <c r="T19" s="75"/>
      <c r="U19" t="s">
        <v>215</v>
      </c>
      <c r="V19">
        <v>100</v>
      </c>
      <c r="W19">
        <v>8.9116346879221528E-2</v>
      </c>
      <c r="X19">
        <v>8.9116346879221527E-4</v>
      </c>
      <c r="AE19" s="73" t="s">
        <v>246</v>
      </c>
      <c r="AF19" s="87">
        <v>735.6</v>
      </c>
      <c r="AG19" s="79">
        <v>-1.84E-2</v>
      </c>
      <c r="AH19" s="88">
        <f t="shared" si="1"/>
        <v>4.7714000854579108E-2</v>
      </c>
      <c r="AI19" t="s">
        <v>214</v>
      </c>
      <c r="AJ19">
        <v>1</v>
      </c>
      <c r="AK19">
        <v>3.0466776079366042E-2</v>
      </c>
      <c r="AL19">
        <v>3.0466776079366042E-2</v>
      </c>
      <c r="AM19">
        <v>17.479496939043063</v>
      </c>
      <c r="AN19">
        <v>6.2343410598275075E-5</v>
      </c>
      <c r="AS19" s="73" t="s">
        <v>246</v>
      </c>
      <c r="AT19" s="86">
        <v>471.5</v>
      </c>
      <c r="AU19" s="77">
        <v>0.111</v>
      </c>
      <c r="AV19" s="88">
        <f t="shared" si="2"/>
        <v>5.990783410138234E-2</v>
      </c>
      <c r="AW19" t="s">
        <v>214</v>
      </c>
      <c r="AX19">
        <v>1</v>
      </c>
      <c r="AY19">
        <v>2.5310580292186774E-2</v>
      </c>
      <c r="AZ19">
        <v>2.5310580292186774E-2</v>
      </c>
      <c r="BA19">
        <v>12.676317368197738</v>
      </c>
      <c r="BB19">
        <v>5.6862658110772945E-4</v>
      </c>
      <c r="BH19" s="73" t="s">
        <v>246</v>
      </c>
      <c r="BI19" s="86">
        <v>319.45</v>
      </c>
      <c r="BJ19" s="77">
        <v>2.93E-2</v>
      </c>
      <c r="BK19" s="88">
        <f t="shared" si="3"/>
        <v>-6.0672059738643425E-3</v>
      </c>
      <c r="BL19" s="71"/>
      <c r="BM19" s="71" t="s">
        <v>209</v>
      </c>
      <c r="BN19" s="71" t="s">
        <v>210</v>
      </c>
      <c r="BO19" s="71" t="s">
        <v>211</v>
      </c>
      <c r="BP19" s="71" t="s">
        <v>212</v>
      </c>
      <c r="BQ19" s="71" t="s">
        <v>213</v>
      </c>
    </row>
    <row r="20" spans="4:72" ht="16" thickBot="1" x14ac:dyDescent="0.25">
      <c r="D20" s="47"/>
      <c r="P20" s="73" t="s">
        <v>247</v>
      </c>
      <c r="Q20" s="78">
        <v>6032.5</v>
      </c>
      <c r="R20" s="79">
        <v>-1.1599999999999999E-2</v>
      </c>
      <c r="S20" s="75">
        <f t="shared" si="0"/>
        <v>8.0207201938340411E-3</v>
      </c>
      <c r="T20" s="75"/>
      <c r="U20" s="69" t="s">
        <v>26</v>
      </c>
      <c r="V20" s="69">
        <v>101</v>
      </c>
      <c r="W20" s="69">
        <v>9.946203988986814E-2</v>
      </c>
      <c r="X20" s="69"/>
      <c r="Y20" s="69"/>
      <c r="Z20" s="69"/>
      <c r="AE20" s="73" t="s">
        <v>247</v>
      </c>
      <c r="AF20" s="86">
        <v>749.4</v>
      </c>
      <c r="AG20" s="77">
        <v>2.9999999999999997E-4</v>
      </c>
      <c r="AH20" s="88">
        <f t="shared" si="1"/>
        <v>1.8760195758564358E-2</v>
      </c>
      <c r="AI20" t="s">
        <v>215</v>
      </c>
      <c r="AJ20">
        <v>100</v>
      </c>
      <c r="AK20">
        <v>0.17430007388435736</v>
      </c>
      <c r="AL20">
        <v>1.7430007388435738E-3</v>
      </c>
      <c r="AS20" s="73" t="s">
        <v>247</v>
      </c>
      <c r="AT20" s="87">
        <v>424.4</v>
      </c>
      <c r="AU20" s="79">
        <v>-4.0000000000000001E-3</v>
      </c>
      <c r="AV20" s="88">
        <f t="shared" si="2"/>
        <v>-9.989395546129376E-2</v>
      </c>
      <c r="AW20" t="s">
        <v>215</v>
      </c>
      <c r="AX20">
        <v>100</v>
      </c>
      <c r="AY20">
        <v>0.19966824399399932</v>
      </c>
      <c r="AZ20">
        <v>1.9966824399399933E-3</v>
      </c>
      <c r="BH20" s="73" t="s">
        <v>247</v>
      </c>
      <c r="BI20" s="87">
        <v>310.35000000000002</v>
      </c>
      <c r="BJ20" s="79">
        <v>-2.3E-3</v>
      </c>
      <c r="BK20" s="88">
        <f t="shared" si="3"/>
        <v>-2.8486461105024175E-2</v>
      </c>
      <c r="BL20" t="s">
        <v>214</v>
      </c>
      <c r="BM20">
        <v>1</v>
      </c>
      <c r="BN20">
        <v>3.2674019156713752E-2</v>
      </c>
      <c r="BO20">
        <v>3.2674019156713752E-2</v>
      </c>
      <c r="BP20">
        <v>14.259825464073721</v>
      </c>
      <c r="BQ20">
        <v>2.7044507361533775E-4</v>
      </c>
    </row>
    <row r="21" spans="4:72" ht="16" thickBot="1" x14ac:dyDescent="0.25">
      <c r="D21" s="47"/>
      <c r="P21" s="73" t="s">
        <v>248</v>
      </c>
      <c r="Q21" s="74">
        <v>6103</v>
      </c>
      <c r="R21" s="77">
        <v>3.1699999999999999E-2</v>
      </c>
      <c r="S21" s="75">
        <f t="shared" si="0"/>
        <v>1.1686697057604611E-2</v>
      </c>
      <c r="T21" s="75"/>
      <c r="AE21" s="73" t="s">
        <v>248</v>
      </c>
      <c r="AF21" s="86">
        <v>749.2</v>
      </c>
      <c r="AG21" s="77">
        <v>2.7400000000000001E-2</v>
      </c>
      <c r="AH21" s="88">
        <f t="shared" si="1"/>
        <v>-2.6688017080322979E-4</v>
      </c>
      <c r="AI21" s="69" t="s">
        <v>26</v>
      </c>
      <c r="AJ21" s="69">
        <v>101</v>
      </c>
      <c r="AK21" s="69">
        <v>0.20476684996372341</v>
      </c>
      <c r="AL21" s="69"/>
      <c r="AM21" s="69"/>
      <c r="AN21" s="69"/>
      <c r="AS21" s="73" t="s">
        <v>248</v>
      </c>
      <c r="AT21" s="87">
        <v>426.1</v>
      </c>
      <c r="AU21" s="79">
        <v>-6.9999999999999999E-4</v>
      </c>
      <c r="AV21" s="88">
        <f t="shared" si="2"/>
        <v>4.0056550424130144E-3</v>
      </c>
      <c r="AW21" s="69" t="s">
        <v>26</v>
      </c>
      <c r="AX21" s="69">
        <v>101</v>
      </c>
      <c r="AY21" s="69">
        <v>0.2249788242861861</v>
      </c>
      <c r="AZ21" s="69"/>
      <c r="BA21" s="69"/>
      <c r="BB21" s="69"/>
      <c r="BH21" s="73" t="s">
        <v>248</v>
      </c>
      <c r="BI21" s="87">
        <v>311.05</v>
      </c>
      <c r="BJ21" s="79">
        <v>-8.8000000000000005E-3</v>
      </c>
      <c r="BK21" s="88">
        <f t="shared" si="3"/>
        <v>2.2555179635894707E-3</v>
      </c>
      <c r="BL21" t="s">
        <v>215</v>
      </c>
      <c r="BM21">
        <v>100</v>
      </c>
      <c r="BN21">
        <v>0.22913337360988639</v>
      </c>
      <c r="BO21">
        <v>2.2913337360988637E-3</v>
      </c>
    </row>
    <row r="22" spans="4:72" ht="16" thickBot="1" x14ac:dyDescent="0.25">
      <c r="P22" s="73" t="s">
        <v>249</v>
      </c>
      <c r="Q22" s="78">
        <v>5915.5</v>
      </c>
      <c r="R22" s="79">
        <v>-7.6E-3</v>
      </c>
      <c r="S22" s="75">
        <f t="shared" si="0"/>
        <v>-3.0722595444863221E-2</v>
      </c>
      <c r="T22" s="75"/>
      <c r="U22" s="71"/>
      <c r="V22" s="71" t="s">
        <v>216</v>
      </c>
      <c r="W22" s="71" t="s">
        <v>206</v>
      </c>
      <c r="X22" s="71" t="s">
        <v>217</v>
      </c>
      <c r="Y22" s="71" t="s">
        <v>218</v>
      </c>
      <c r="Z22" s="71" t="s">
        <v>219</v>
      </c>
      <c r="AA22" s="71" t="s">
        <v>220</v>
      </c>
      <c r="AB22" s="71" t="s">
        <v>221</v>
      </c>
      <c r="AC22" s="71" t="s">
        <v>222</v>
      </c>
      <c r="AE22" s="73" t="s">
        <v>249</v>
      </c>
      <c r="AF22" s="86">
        <v>729.2</v>
      </c>
      <c r="AG22" s="77">
        <v>1.7299999999999999E-2</v>
      </c>
      <c r="AH22" s="88">
        <f t="shared" si="1"/>
        <v>-2.6695141484249896E-2</v>
      </c>
      <c r="AS22" s="73" t="s">
        <v>249</v>
      </c>
      <c r="AT22" s="86">
        <v>426.4</v>
      </c>
      <c r="AU22" s="77">
        <v>4.0500000000000001E-2</v>
      </c>
      <c r="AV22" s="88">
        <f t="shared" si="2"/>
        <v>7.0406007979340046E-4</v>
      </c>
      <c r="BH22" s="73" t="s">
        <v>249</v>
      </c>
      <c r="BI22" s="87">
        <v>313.8</v>
      </c>
      <c r="BJ22" s="79">
        <v>-2.64E-2</v>
      </c>
      <c r="BK22" s="88">
        <f t="shared" si="3"/>
        <v>8.841022343674565E-3</v>
      </c>
      <c r="BL22" s="69" t="s">
        <v>26</v>
      </c>
      <c r="BM22" s="69">
        <v>101</v>
      </c>
      <c r="BN22" s="69">
        <v>0.26180739276660014</v>
      </c>
      <c r="BO22" s="69"/>
      <c r="BP22" s="69"/>
      <c r="BQ22" s="69"/>
    </row>
    <row r="23" spans="4:72" ht="16" thickBot="1" x14ac:dyDescent="0.25">
      <c r="P23" s="73" t="s">
        <v>250</v>
      </c>
      <c r="Q23" s="74">
        <v>5961</v>
      </c>
      <c r="R23" s="77">
        <v>1.9699999999999999E-2</v>
      </c>
      <c r="S23" s="75">
        <f t="shared" si="0"/>
        <v>7.6916575099315043E-3</v>
      </c>
      <c r="T23" s="75"/>
      <c r="U23" t="s">
        <v>223</v>
      </c>
      <c r="V23">
        <v>-1.0545031699272594E-3</v>
      </c>
      <c r="W23">
        <v>2.9574007409387429E-3</v>
      </c>
      <c r="X23">
        <v>-0.35656417993340234</v>
      </c>
      <c r="Y23">
        <v>0.72216933922795268</v>
      </c>
      <c r="Z23">
        <v>-6.9219020088101858E-3</v>
      </c>
      <c r="AA23">
        <v>4.8128956689556671E-3</v>
      </c>
      <c r="AB23">
        <v>-6.9219020088101858E-3</v>
      </c>
      <c r="AC23">
        <v>4.8128956689556671E-3</v>
      </c>
      <c r="AE23" s="73" t="s">
        <v>250</v>
      </c>
      <c r="AF23" s="87">
        <v>716.8</v>
      </c>
      <c r="AG23" s="79">
        <v>-5.0000000000000001E-4</v>
      </c>
      <c r="AH23" s="88">
        <f t="shared" si="1"/>
        <v>-1.7004936917169644E-2</v>
      </c>
      <c r="AI23" s="71"/>
      <c r="AJ23" s="71" t="s">
        <v>216</v>
      </c>
      <c r="AK23" s="71" t="s">
        <v>206</v>
      </c>
      <c r="AL23" s="71" t="s">
        <v>217</v>
      </c>
      <c r="AM23" s="71" t="s">
        <v>218</v>
      </c>
      <c r="AN23" s="71" t="s">
        <v>219</v>
      </c>
      <c r="AO23" s="71" t="s">
        <v>220</v>
      </c>
      <c r="AP23" s="71" t="s">
        <v>221</v>
      </c>
      <c r="AQ23" s="71" t="s">
        <v>222</v>
      </c>
      <c r="AS23" s="73" t="s">
        <v>250</v>
      </c>
      <c r="AT23" s="87">
        <v>409.8</v>
      </c>
      <c r="AU23" s="79">
        <v>-4.8000000000000001E-2</v>
      </c>
      <c r="AV23" s="88">
        <f t="shared" si="2"/>
        <v>-3.8930581613508375E-2</v>
      </c>
      <c r="AW23" s="71"/>
      <c r="AX23" s="71" t="s">
        <v>216</v>
      </c>
      <c r="AY23" s="71" t="s">
        <v>206</v>
      </c>
      <c r="AZ23" s="71" t="s">
        <v>217</v>
      </c>
      <c r="BA23" s="71" t="s">
        <v>218</v>
      </c>
      <c r="BB23" s="71" t="s">
        <v>219</v>
      </c>
      <c r="BC23" s="71" t="s">
        <v>220</v>
      </c>
      <c r="BD23" s="71" t="s">
        <v>221</v>
      </c>
      <c r="BE23" s="71" t="s">
        <v>222</v>
      </c>
      <c r="BH23" s="73" t="s">
        <v>250</v>
      </c>
      <c r="BI23" s="87">
        <v>322.3</v>
      </c>
      <c r="BJ23" s="79">
        <v>-2.5100000000000001E-2</v>
      </c>
      <c r="BK23" s="88">
        <f t="shared" si="3"/>
        <v>2.7087316762268943E-2</v>
      </c>
    </row>
    <row r="24" spans="4:72" ht="16" thickBot="1" x14ac:dyDescent="0.25">
      <c r="P24" s="73" t="s">
        <v>251</v>
      </c>
      <c r="Q24" s="74">
        <v>5846</v>
      </c>
      <c r="R24" s="77">
        <v>5.7000000000000002E-3</v>
      </c>
      <c r="S24" s="75">
        <f t="shared" si="0"/>
        <v>-1.929206508975001E-2</v>
      </c>
      <c r="T24" s="75"/>
      <c r="U24" s="69">
        <v>1.641468682505387E-2</v>
      </c>
      <c r="V24" s="69">
        <v>0.538017859147364</v>
      </c>
      <c r="W24" s="69">
        <v>0.15790489237305083</v>
      </c>
      <c r="X24" s="69">
        <v>3.407227293985895</v>
      </c>
      <c r="Y24" s="69">
        <v>9.4667939035395887E-4</v>
      </c>
      <c r="Z24" s="69">
        <v>0.22473905004370373</v>
      </c>
      <c r="AA24" s="69">
        <v>0.85129666825102424</v>
      </c>
      <c r="AB24" s="69">
        <v>0.22473905004370373</v>
      </c>
      <c r="AC24" s="69">
        <v>0.85129666825102424</v>
      </c>
      <c r="AE24" s="73" t="s">
        <v>251</v>
      </c>
      <c r="AF24" s="86">
        <v>717.15</v>
      </c>
      <c r="AG24" s="77">
        <v>7.1999999999999998E-3</v>
      </c>
      <c r="AH24" s="88">
        <f t="shared" si="1"/>
        <v>4.8828125E-4</v>
      </c>
      <c r="AI24" t="s">
        <v>223</v>
      </c>
      <c r="AJ24">
        <v>-5.5686405622850266E-4</v>
      </c>
      <c r="AK24">
        <v>4.1359975735907441E-3</v>
      </c>
      <c r="AL24">
        <v>-0.13463839045366041</v>
      </c>
      <c r="AM24">
        <v>0.89316840562263078</v>
      </c>
      <c r="AN24">
        <v>-8.7625654429150726E-3</v>
      </c>
      <c r="AO24">
        <v>7.6488373304580675E-3</v>
      </c>
      <c r="AP24">
        <v>-8.7625654429150726E-3</v>
      </c>
      <c r="AQ24">
        <v>7.6488373304580675E-3</v>
      </c>
      <c r="AS24" s="73" t="s">
        <v>251</v>
      </c>
      <c r="AT24" s="87">
        <v>430.45</v>
      </c>
      <c r="AU24" s="79">
        <v>-2.4400000000000002E-2</v>
      </c>
      <c r="AV24" s="88">
        <f t="shared" si="2"/>
        <v>5.0390434358223546E-2</v>
      </c>
      <c r="AW24" t="s">
        <v>223</v>
      </c>
      <c r="AX24">
        <v>-2.2880549407019116E-3</v>
      </c>
      <c r="AY24">
        <v>4.4267601215383307E-3</v>
      </c>
      <c r="AZ24">
        <v>-0.51686896915182212</v>
      </c>
      <c r="BA24">
        <v>0.60638890438255921</v>
      </c>
      <c r="BB24">
        <v>-1.1070620941169833E-2</v>
      </c>
      <c r="BC24">
        <v>6.4945110597660095E-3</v>
      </c>
      <c r="BD24">
        <v>-1.1070620941169833E-2</v>
      </c>
      <c r="BE24">
        <v>6.4945110597660095E-3</v>
      </c>
      <c r="BH24" s="73" t="s">
        <v>251</v>
      </c>
      <c r="BI24" s="87">
        <v>330.6</v>
      </c>
      <c r="BJ24" s="79">
        <v>-8.8000000000000005E-3</v>
      </c>
      <c r="BK24" s="88">
        <f t="shared" si="3"/>
        <v>2.5752404591995015E-2</v>
      </c>
      <c r="BL24" s="71"/>
      <c r="BM24" s="71" t="s">
        <v>216</v>
      </c>
      <c r="BN24" s="71" t="s">
        <v>206</v>
      </c>
      <c r="BO24" s="71" t="s">
        <v>217</v>
      </c>
      <c r="BP24" s="71" t="s">
        <v>218</v>
      </c>
      <c r="BQ24" s="71" t="s">
        <v>219</v>
      </c>
      <c r="BR24" s="71" t="s">
        <v>220</v>
      </c>
      <c r="BS24" s="71" t="s">
        <v>221</v>
      </c>
      <c r="BT24" s="71" t="s">
        <v>222</v>
      </c>
    </row>
    <row r="25" spans="4:72" ht="16" thickBot="1" x14ac:dyDescent="0.25">
      <c r="P25" s="73" t="s">
        <v>252</v>
      </c>
      <c r="Q25" s="74">
        <v>5813</v>
      </c>
      <c r="R25" s="77">
        <v>1.6000000000000001E-3</v>
      </c>
      <c r="S25" s="75">
        <f t="shared" si="0"/>
        <v>-5.6448853917208108E-3</v>
      </c>
      <c r="T25" s="75"/>
      <c r="AE25" s="73" t="s">
        <v>252</v>
      </c>
      <c r="AF25" s="86">
        <v>712</v>
      </c>
      <c r="AG25" s="77">
        <v>1E-4</v>
      </c>
      <c r="AH25" s="88">
        <f t="shared" si="1"/>
        <v>-7.1812033744683701E-3</v>
      </c>
      <c r="AI25" s="69">
        <v>1.641468682505387E-2</v>
      </c>
      <c r="AJ25" s="69">
        <v>0.92327302835071989</v>
      </c>
      <c r="AK25" s="69">
        <v>0.22083387032145652</v>
      </c>
      <c r="AL25" s="69">
        <v>4.1808488299677888</v>
      </c>
      <c r="AM25" s="69">
        <v>6.2343410598275916E-5</v>
      </c>
      <c r="AN25" s="69">
        <v>0.48514491930762588</v>
      </c>
      <c r="AO25" s="69">
        <v>1.361401137393814</v>
      </c>
      <c r="AP25" s="69">
        <v>0.48514491930762588</v>
      </c>
      <c r="AQ25" s="69">
        <v>1.361401137393814</v>
      </c>
      <c r="AS25" s="73" t="s">
        <v>252</v>
      </c>
      <c r="AT25" s="87">
        <v>441.2</v>
      </c>
      <c r="AU25" s="79">
        <v>-2.8899999999999999E-2</v>
      </c>
      <c r="AV25" s="88">
        <f t="shared" si="2"/>
        <v>2.4973864560343895E-2</v>
      </c>
      <c r="AW25" s="69">
        <v>1.641468682505387E-2</v>
      </c>
      <c r="AX25" s="69">
        <v>0.84152679616720893</v>
      </c>
      <c r="AY25" s="69">
        <v>0.23635859384107125</v>
      </c>
      <c r="AZ25" s="69">
        <v>3.5603816323812452</v>
      </c>
      <c r="BA25" s="69">
        <v>5.6862658110772945E-4</v>
      </c>
      <c r="BB25" s="69">
        <v>0.3725980778282465</v>
      </c>
      <c r="BC25" s="69">
        <v>1.3104555145061714</v>
      </c>
      <c r="BD25" s="69">
        <v>0.3725980778282465</v>
      </c>
      <c r="BE25" s="69">
        <v>1.3104555145061714</v>
      </c>
      <c r="BH25" s="73" t="s">
        <v>252</v>
      </c>
      <c r="BI25" s="86">
        <v>333.55</v>
      </c>
      <c r="BJ25" s="77">
        <v>1.2E-2</v>
      </c>
      <c r="BK25" s="88">
        <f t="shared" si="3"/>
        <v>8.923169993950264E-3</v>
      </c>
      <c r="BL25" t="s">
        <v>223</v>
      </c>
      <c r="BM25">
        <v>2.9809409849102775E-3</v>
      </c>
      <c r="BN25">
        <v>4.7421541196883757E-3</v>
      </c>
      <c r="BO25">
        <v>0.6286048301412368</v>
      </c>
      <c r="BP25">
        <v>0.53104098763396457</v>
      </c>
      <c r="BQ25">
        <v>-6.4273577250006037E-3</v>
      </c>
      <c r="BR25">
        <v>1.2389239694821159E-2</v>
      </c>
      <c r="BS25">
        <v>-6.4273577250006037E-3</v>
      </c>
      <c r="BT25">
        <v>1.2389239694821159E-2</v>
      </c>
    </row>
    <row r="26" spans="4:72" ht="16" thickBot="1" x14ac:dyDescent="0.25">
      <c r="P26" s="73" t="s">
        <v>253</v>
      </c>
      <c r="Q26" s="78">
        <v>5803.5</v>
      </c>
      <c r="R26" s="79">
        <v>-5.7500000000000002E-2</v>
      </c>
      <c r="S26" s="75">
        <f t="shared" si="0"/>
        <v>-1.6342680199552539E-3</v>
      </c>
      <c r="T26" s="75"/>
      <c r="AE26" s="73" t="s">
        <v>253</v>
      </c>
      <c r="AF26" s="87">
        <v>711.95</v>
      </c>
      <c r="AG26" s="79">
        <v>-7.7000000000000002E-3</v>
      </c>
      <c r="AH26" s="88">
        <f t="shared" si="1"/>
        <v>-7.0224719101008581E-5</v>
      </c>
      <c r="AS26" s="73" t="s">
        <v>253</v>
      </c>
      <c r="AT26" s="86">
        <v>454.35</v>
      </c>
      <c r="AU26" s="77">
        <v>8.8999999999999999E-3</v>
      </c>
      <c r="AV26" s="88">
        <f t="shared" si="2"/>
        <v>2.980507706255664E-2</v>
      </c>
      <c r="BH26" s="73" t="s">
        <v>253</v>
      </c>
      <c r="BI26" s="87">
        <v>329.6</v>
      </c>
      <c r="BJ26" s="79">
        <v>-8.9099999999999999E-2</v>
      </c>
      <c r="BK26" s="88">
        <f t="shared" si="3"/>
        <v>-1.1842302503372815E-2</v>
      </c>
      <c r="BL26" s="69">
        <v>1.641468682505387E-2</v>
      </c>
      <c r="BM26" s="69">
        <v>0.95613271445687775</v>
      </c>
      <c r="BN26" s="69">
        <v>0.25319846766797127</v>
      </c>
      <c r="BO26" s="69">
        <v>3.7762184078881975</v>
      </c>
      <c r="BP26" s="69">
        <v>2.7044507361534295E-4</v>
      </c>
      <c r="BQ26" s="69">
        <v>0.45379416606981537</v>
      </c>
      <c r="BR26" s="69">
        <v>1.45847126284394</v>
      </c>
      <c r="BS26" s="69">
        <v>0.45379416606981537</v>
      </c>
      <c r="BT26" s="69">
        <v>1.45847126284394</v>
      </c>
    </row>
    <row r="27" spans="4:72" x14ac:dyDescent="0.2">
      <c r="P27" s="73" t="s">
        <v>254</v>
      </c>
      <c r="Q27" s="74">
        <v>6157.5</v>
      </c>
      <c r="R27" s="77">
        <v>5.5E-2</v>
      </c>
      <c r="S27" s="75">
        <f t="shared" si="0"/>
        <v>6.0997673817523967E-2</v>
      </c>
      <c r="T27" s="89" t="s">
        <v>362</v>
      </c>
      <c r="U27" s="2">
        <f>SLOPE(S4:S106,'% Change'!H5:H107)</f>
        <v>0.53478666809016817</v>
      </c>
      <c r="AE27" s="73" t="s">
        <v>254</v>
      </c>
      <c r="AF27" s="87">
        <v>717.45</v>
      </c>
      <c r="AG27" s="79">
        <v>-1.7999999999999999E-2</v>
      </c>
      <c r="AH27" s="88">
        <f t="shared" si="1"/>
        <v>7.7252616054497292E-3</v>
      </c>
      <c r="AS27" s="73" t="s">
        <v>254</v>
      </c>
      <c r="AT27" s="87">
        <v>450.35</v>
      </c>
      <c r="AU27" s="79">
        <v>-5.5100000000000003E-2</v>
      </c>
      <c r="AV27" s="88">
        <f t="shared" si="2"/>
        <v>-8.8037856278199156E-3</v>
      </c>
      <c r="AX27" s="85" t="s">
        <v>362</v>
      </c>
      <c r="AY27" s="2">
        <f>SLOPE(AV4:AV106,'% Change'!H5:H107)</f>
        <v>0.84414185651970408</v>
      </c>
      <c r="BH27" s="73" t="s">
        <v>254</v>
      </c>
      <c r="BI27" s="86">
        <v>361.85</v>
      </c>
      <c r="BJ27" s="77">
        <v>0.03</v>
      </c>
      <c r="BK27" s="88">
        <f t="shared" si="3"/>
        <v>9.7845873786407855E-2</v>
      </c>
    </row>
    <row r="28" spans="4:72" x14ac:dyDescent="0.2">
      <c r="P28" s="73" t="s">
        <v>255</v>
      </c>
      <c r="Q28" s="78">
        <v>5836.5</v>
      </c>
      <c r="R28" s="79">
        <v>-3.5799999999999998E-2</v>
      </c>
      <c r="S28" s="75">
        <f t="shared" si="0"/>
        <v>-5.2131546894031655E-2</v>
      </c>
      <c r="T28" s="75"/>
      <c r="U28" s="76"/>
      <c r="V28" s="79"/>
      <c r="AE28" s="73" t="s">
        <v>255</v>
      </c>
      <c r="AF28" s="87">
        <v>730.6</v>
      </c>
      <c r="AG28" s="79">
        <v>-2.8E-3</v>
      </c>
      <c r="AH28" s="88">
        <f t="shared" si="1"/>
        <v>1.8328803400933902E-2</v>
      </c>
      <c r="AJ28" s="85" t="s">
        <v>362</v>
      </c>
      <c r="AK28" s="2">
        <f>SLOPE(AH4:AH106,'% Change'!H5:H107)</f>
        <v>0.91697347535477569</v>
      </c>
      <c r="AS28" s="73" t="s">
        <v>255</v>
      </c>
      <c r="AT28" s="87">
        <v>476.6</v>
      </c>
      <c r="AU28" s="79">
        <v>-1.7100000000000001E-2</v>
      </c>
      <c r="AV28" s="88">
        <f t="shared" si="2"/>
        <v>5.8287998223603754E-2</v>
      </c>
      <c r="BH28" s="73" t="s">
        <v>255</v>
      </c>
      <c r="BI28" s="86">
        <v>351.3</v>
      </c>
      <c r="BJ28" s="77">
        <v>1.6899999999999998E-2</v>
      </c>
      <c r="BK28" s="88">
        <f t="shared" si="3"/>
        <v>-2.9155727511399832E-2</v>
      </c>
    </row>
    <row r="29" spans="4:72" x14ac:dyDescent="0.2">
      <c r="P29" s="73" t="s">
        <v>256</v>
      </c>
      <c r="Q29" s="78">
        <v>6053</v>
      </c>
      <c r="R29" s="79">
        <v>-4.8999999999999998E-3</v>
      </c>
      <c r="S29" s="75">
        <f t="shared" si="0"/>
        <v>3.7094148890602252E-2</v>
      </c>
      <c r="T29" s="75"/>
      <c r="U29" s="76"/>
      <c r="V29" s="79"/>
      <c r="AE29" s="73" t="s">
        <v>256</v>
      </c>
      <c r="AF29" s="87">
        <v>732.65</v>
      </c>
      <c r="AG29" s="79">
        <v>-2.0999999999999999E-3</v>
      </c>
      <c r="AH29" s="88">
        <f t="shared" si="1"/>
        <v>2.8059129482616019E-3</v>
      </c>
      <c r="AI29" s="76"/>
      <c r="AJ29" s="76"/>
      <c r="AK29" s="79"/>
      <c r="AS29" s="73" t="s">
        <v>256</v>
      </c>
      <c r="AT29" s="86">
        <v>484.9</v>
      </c>
      <c r="AU29" s="77">
        <v>5.21E-2</v>
      </c>
      <c r="AV29" s="88">
        <f t="shared" si="2"/>
        <v>1.7415023080151082E-2</v>
      </c>
      <c r="AW29" s="76"/>
      <c r="AX29" s="76"/>
      <c r="AY29" s="77"/>
      <c r="BH29" s="73" t="s">
        <v>256</v>
      </c>
      <c r="BI29" s="87">
        <v>345.45</v>
      </c>
      <c r="BJ29" s="79">
        <v>-1.1599999999999999E-2</v>
      </c>
      <c r="BK29" s="88">
        <f t="shared" si="3"/>
        <v>-1.6652433817250234E-2</v>
      </c>
      <c r="BM29" s="85" t="s">
        <v>362</v>
      </c>
      <c r="BN29" s="98">
        <f>SLOPE(BK4:BK106,'% Change'!H5:H107)</f>
        <v>0.96211318184155314</v>
      </c>
    </row>
    <row r="30" spans="4:72" x14ac:dyDescent="0.2">
      <c r="P30" s="73" t="s">
        <v>257</v>
      </c>
      <c r="Q30" s="74">
        <v>6083</v>
      </c>
      <c r="R30" s="77">
        <v>3.5999999999999997E-2</v>
      </c>
      <c r="S30" s="75">
        <f t="shared" si="0"/>
        <v>4.9562200561705794E-3</v>
      </c>
      <c r="T30" s="75"/>
      <c r="U30" s="76"/>
      <c r="V30" s="77"/>
      <c r="AE30" s="73" t="s">
        <v>257</v>
      </c>
      <c r="AF30" s="86">
        <v>734.2</v>
      </c>
      <c r="AG30" s="77">
        <v>6.8999999999999999E-3</v>
      </c>
      <c r="AH30" s="88">
        <f t="shared" si="1"/>
        <v>2.1156077253805528E-3</v>
      </c>
      <c r="AI30" s="76"/>
      <c r="AJ30" s="76"/>
      <c r="AK30" s="77"/>
      <c r="AS30" s="73" t="s">
        <v>257</v>
      </c>
      <c r="AT30" s="86">
        <v>460.9</v>
      </c>
      <c r="AU30" s="77">
        <v>1.0699999999999999E-2</v>
      </c>
      <c r="AV30" s="88">
        <f t="shared" si="2"/>
        <v>-4.9494741183749191E-2</v>
      </c>
      <c r="AW30" s="76"/>
      <c r="AX30" s="76"/>
      <c r="AY30" s="77"/>
      <c r="BH30" s="73" t="s">
        <v>257</v>
      </c>
      <c r="BI30" s="86">
        <v>349.5</v>
      </c>
      <c r="BJ30" s="77">
        <v>4.4999999999999997E-3</v>
      </c>
      <c r="BK30" s="88">
        <f t="shared" si="3"/>
        <v>1.1723838471558778E-2</v>
      </c>
      <c r="BL30" s="76"/>
      <c r="BM30" s="76"/>
    </row>
    <row r="31" spans="4:72" x14ac:dyDescent="0.2">
      <c r="P31" s="73" t="s">
        <v>258</v>
      </c>
      <c r="Q31" s="78">
        <v>5871.5</v>
      </c>
      <c r="R31" s="79">
        <v>-2.0199999999999999E-2</v>
      </c>
      <c r="S31" s="75">
        <f t="shared" si="0"/>
        <v>-3.4769028439914473E-2</v>
      </c>
      <c r="T31" s="75"/>
      <c r="U31" s="76"/>
      <c r="V31" s="79"/>
      <c r="AE31" s="73" t="s">
        <v>258</v>
      </c>
      <c r="AF31" s="87">
        <v>729.2</v>
      </c>
      <c r="AG31" s="79">
        <v>-1E-4</v>
      </c>
      <c r="AH31" s="88">
        <f t="shared" si="1"/>
        <v>-6.8101334786161427E-3</v>
      </c>
      <c r="AI31" s="76"/>
      <c r="AJ31" s="76"/>
      <c r="AK31" s="79"/>
      <c r="AS31" s="73" t="s">
        <v>258</v>
      </c>
      <c r="AT31" s="87">
        <v>456</v>
      </c>
      <c r="AU31" s="79">
        <v>-1.8200000000000001E-2</v>
      </c>
      <c r="AV31" s="88">
        <f t="shared" si="2"/>
        <v>-1.0631373399869748E-2</v>
      </c>
      <c r="AW31" s="76"/>
      <c r="AX31" s="76"/>
      <c r="AY31" s="79"/>
      <c r="BH31" s="73" t="s">
        <v>258</v>
      </c>
      <c r="BI31" s="87">
        <v>347.95</v>
      </c>
      <c r="BJ31" s="79">
        <v>-2.3999999999999998E-3</v>
      </c>
      <c r="BK31" s="88">
        <f t="shared" si="3"/>
        <v>-4.4349070100143662E-3</v>
      </c>
      <c r="BL31" s="76"/>
      <c r="BM31" s="76"/>
      <c r="BN31" s="79"/>
    </row>
    <row r="32" spans="4:72" x14ac:dyDescent="0.2">
      <c r="P32" s="73" t="s">
        <v>259</v>
      </c>
      <c r="Q32" s="74">
        <v>5992.5</v>
      </c>
      <c r="R32" s="77">
        <v>1.2200000000000001E-2</v>
      </c>
      <c r="S32" s="75">
        <f t="shared" si="0"/>
        <v>2.0608021800221366E-2</v>
      </c>
      <c r="T32" s="75"/>
      <c r="U32" s="76"/>
      <c r="V32" s="77"/>
      <c r="AE32" s="73" t="s">
        <v>259</v>
      </c>
      <c r="AF32" s="87">
        <v>729.25</v>
      </c>
      <c r="AG32" s="79">
        <v>-2.5999999999999999E-3</v>
      </c>
      <c r="AH32" s="88">
        <f t="shared" si="1"/>
        <v>6.8568294020687759E-5</v>
      </c>
      <c r="AI32" s="76"/>
      <c r="AJ32" s="76"/>
      <c r="AK32" s="79"/>
      <c r="AS32" s="73" t="s">
        <v>259</v>
      </c>
      <c r="AT32" s="87">
        <v>464.45</v>
      </c>
      <c r="AU32" s="79">
        <v>-3.6999999999999998E-2</v>
      </c>
      <c r="AV32" s="88">
        <f t="shared" si="2"/>
        <v>1.853070175438587E-2</v>
      </c>
      <c r="AW32" s="76"/>
      <c r="AX32" s="76"/>
      <c r="AY32" s="79"/>
      <c r="BH32" s="73" t="s">
        <v>259</v>
      </c>
      <c r="BI32" s="87">
        <v>348.8</v>
      </c>
      <c r="BJ32" s="79">
        <v>-3.73E-2</v>
      </c>
      <c r="BK32" s="88">
        <f t="shared" si="3"/>
        <v>2.4428797240982902E-3</v>
      </c>
      <c r="BL32" s="76"/>
      <c r="BM32" s="76"/>
      <c r="BN32" s="79"/>
    </row>
    <row r="33" spans="16:66" x14ac:dyDescent="0.2">
      <c r="P33" s="73" t="s">
        <v>260</v>
      </c>
      <c r="Q33" s="78">
        <v>5920.5</v>
      </c>
      <c r="R33" s="79">
        <v>-2.4500000000000001E-2</v>
      </c>
      <c r="S33" s="75">
        <f t="shared" si="0"/>
        <v>-1.2015018773466779E-2</v>
      </c>
      <c r="T33" s="75"/>
      <c r="U33" s="76"/>
      <c r="V33" s="79"/>
      <c r="AE33" s="73" t="s">
        <v>260</v>
      </c>
      <c r="AF33" s="87">
        <v>731.15</v>
      </c>
      <c r="AG33" s="79">
        <v>-7.2400000000000006E-2</v>
      </c>
      <c r="AH33" s="88">
        <f t="shared" si="1"/>
        <v>2.6054165238258431E-3</v>
      </c>
      <c r="AI33" s="76"/>
      <c r="AJ33" s="76"/>
      <c r="AK33" s="79"/>
      <c r="AS33" s="73" t="s">
        <v>260</v>
      </c>
      <c r="AT33" s="87">
        <v>482.3</v>
      </c>
      <c r="AU33" s="79">
        <v>-6.5100000000000005E-2</v>
      </c>
      <c r="AV33" s="88">
        <f t="shared" si="2"/>
        <v>3.8432554634513894E-2</v>
      </c>
      <c r="AW33" s="76"/>
      <c r="AX33" s="76"/>
      <c r="AY33" s="79"/>
      <c r="BH33" s="73" t="s">
        <v>260</v>
      </c>
      <c r="BI33" s="87">
        <v>362.3</v>
      </c>
      <c r="BJ33" s="79">
        <v>-3.4099999999999998E-2</v>
      </c>
      <c r="BK33" s="88">
        <f t="shared" si="3"/>
        <v>3.870412844036708E-2</v>
      </c>
      <c r="BL33" s="76"/>
      <c r="BM33" s="76"/>
      <c r="BN33" s="79"/>
    </row>
    <row r="34" spans="16:66" x14ac:dyDescent="0.2">
      <c r="P34" s="73" t="s">
        <v>261</v>
      </c>
      <c r="Q34" s="78">
        <v>6069.5</v>
      </c>
      <c r="R34" s="79">
        <v>-2.8400000000000002E-2</v>
      </c>
      <c r="S34" s="75">
        <f t="shared" si="0"/>
        <v>2.5166793345156702E-2</v>
      </c>
      <c r="T34" s="75"/>
      <c r="U34" s="76"/>
      <c r="V34" s="79"/>
      <c r="AE34" s="73" t="s">
        <v>261</v>
      </c>
      <c r="AF34" s="86">
        <v>788.25</v>
      </c>
      <c r="AG34" s="77">
        <v>1.55E-2</v>
      </c>
      <c r="AH34" s="88">
        <f t="shared" si="1"/>
        <v>7.8096149900841239E-2</v>
      </c>
      <c r="AI34" s="76"/>
      <c r="AJ34" s="76"/>
      <c r="AK34" s="77"/>
      <c r="AS34" s="73" t="s">
        <v>261</v>
      </c>
      <c r="AT34" s="86">
        <v>515.9</v>
      </c>
      <c r="AU34" s="77">
        <v>1.6799999999999999E-2</v>
      </c>
      <c r="AV34" s="88">
        <f t="shared" si="2"/>
        <v>6.9666182873729943E-2</v>
      </c>
      <c r="AW34" s="76"/>
      <c r="AX34" s="76"/>
      <c r="AY34" s="77"/>
      <c r="BH34" s="73" t="s">
        <v>261</v>
      </c>
      <c r="BI34" s="86">
        <v>375.1</v>
      </c>
      <c r="BJ34" s="77">
        <v>5.7999999999999996E-3</v>
      </c>
      <c r="BK34" s="88">
        <f t="shared" si="3"/>
        <v>3.5329837151531818E-2</v>
      </c>
      <c r="BL34" s="76"/>
      <c r="BM34" s="76"/>
      <c r="BN34" s="77"/>
    </row>
    <row r="35" spans="16:66" x14ac:dyDescent="0.2">
      <c r="P35" s="73" t="s">
        <v>262</v>
      </c>
      <c r="Q35" s="74">
        <v>6247</v>
      </c>
      <c r="R35" s="77">
        <v>2.81E-2</v>
      </c>
      <c r="S35" s="75">
        <f t="shared" si="0"/>
        <v>2.9244583573605709E-2</v>
      </c>
      <c r="T35" s="75"/>
      <c r="U35" s="76"/>
      <c r="V35" s="77"/>
      <c r="AE35" s="73" t="s">
        <v>262</v>
      </c>
      <c r="AF35" s="87">
        <v>776.25</v>
      </c>
      <c r="AG35" s="79">
        <v>-2.9700000000000001E-2</v>
      </c>
      <c r="AH35" s="88">
        <f t="shared" si="1"/>
        <v>-1.5223596574690745E-2</v>
      </c>
      <c r="AI35" s="76"/>
      <c r="AJ35" s="76"/>
      <c r="AK35" s="79"/>
      <c r="AS35" s="73" t="s">
        <v>262</v>
      </c>
      <c r="AT35" s="86">
        <v>507.4</v>
      </c>
      <c r="AU35" s="77">
        <v>4.5400000000000003E-2</v>
      </c>
      <c r="AV35" s="88">
        <f t="shared" si="2"/>
        <v>-1.6476061252180707E-2</v>
      </c>
      <c r="AW35" s="76"/>
      <c r="AX35" s="76"/>
      <c r="AY35" s="77"/>
      <c r="BH35" s="73" t="s">
        <v>262</v>
      </c>
      <c r="BI35" s="86">
        <v>372.95</v>
      </c>
      <c r="BJ35" s="77">
        <v>2.87E-2</v>
      </c>
      <c r="BK35" s="88">
        <f t="shared" si="3"/>
        <v>-5.7318048520395015E-3</v>
      </c>
      <c r="BL35" s="76"/>
      <c r="BM35" s="76"/>
      <c r="BN35" s="77"/>
    </row>
    <row r="36" spans="16:66" x14ac:dyDescent="0.2">
      <c r="P36" s="73" t="s">
        <v>263</v>
      </c>
      <c r="Q36" s="74">
        <v>6076</v>
      </c>
      <c r="R36" s="77">
        <v>4.3299999999999998E-2</v>
      </c>
      <c r="S36" s="75">
        <f t="shared" si="0"/>
        <v>-2.7373139106771305E-2</v>
      </c>
      <c r="T36" s="75"/>
      <c r="U36" s="76"/>
      <c r="V36" s="77"/>
      <c r="AE36" s="73" t="s">
        <v>263</v>
      </c>
      <c r="AF36" s="86">
        <v>800.05</v>
      </c>
      <c r="AG36" s="77">
        <v>1.23E-2</v>
      </c>
      <c r="AH36" s="88">
        <f t="shared" si="1"/>
        <v>3.0660225442834088E-2</v>
      </c>
      <c r="AI36" s="76"/>
      <c r="AJ36" s="76"/>
      <c r="AK36" s="77"/>
      <c r="AS36" s="73" t="s">
        <v>263</v>
      </c>
      <c r="AT36" s="86">
        <v>485.38</v>
      </c>
      <c r="AU36" s="77">
        <v>0.20219999999999999</v>
      </c>
      <c r="AV36" s="88">
        <f t="shared" si="2"/>
        <v>-4.3397713835238383E-2</v>
      </c>
      <c r="AW36" s="76"/>
      <c r="AX36" s="76"/>
      <c r="AY36" s="77"/>
      <c r="BH36" s="73" t="s">
        <v>263</v>
      </c>
      <c r="BI36" s="87">
        <v>362.55</v>
      </c>
      <c r="BJ36" s="79">
        <v>-1.52E-2</v>
      </c>
      <c r="BK36" s="88">
        <f t="shared" si="3"/>
        <v>-2.7885775573133098E-2</v>
      </c>
      <c r="BL36" s="76"/>
      <c r="BM36" s="76"/>
      <c r="BN36" s="79"/>
    </row>
    <row r="37" spans="16:66" x14ac:dyDescent="0.2">
      <c r="P37" s="73" t="s">
        <v>264</v>
      </c>
      <c r="Q37" s="74">
        <v>5824</v>
      </c>
      <c r="R37" s="77">
        <v>5.0200000000000002E-2</v>
      </c>
      <c r="S37" s="75">
        <f t="shared" si="0"/>
        <v>-4.1474654377880227E-2</v>
      </c>
      <c r="T37" s="75"/>
      <c r="U37" s="76"/>
      <c r="V37" s="77"/>
      <c r="AE37" s="73" t="s">
        <v>264</v>
      </c>
      <c r="AF37" s="86">
        <v>790.3</v>
      </c>
      <c r="AG37" s="77">
        <v>2.6200000000000001E-2</v>
      </c>
      <c r="AH37" s="88">
        <f t="shared" si="1"/>
        <v>-1.2186738328854418E-2</v>
      </c>
      <c r="AI37" s="76"/>
      <c r="AJ37" s="76"/>
      <c r="AK37" s="77"/>
      <c r="AS37" s="73" t="s">
        <v>264</v>
      </c>
      <c r="AT37" s="86">
        <v>403.74</v>
      </c>
      <c r="AU37" s="77">
        <v>1.0200000000000001E-2</v>
      </c>
      <c r="AV37" s="88">
        <f t="shared" si="2"/>
        <v>-0.16819811281882235</v>
      </c>
      <c r="AW37" s="76"/>
      <c r="AX37" s="76"/>
      <c r="AY37" s="77"/>
      <c r="BH37" s="73" t="s">
        <v>264</v>
      </c>
      <c r="BI37" s="86">
        <v>368.15</v>
      </c>
      <c r="BJ37" s="77">
        <v>1.5599999999999999E-2</v>
      </c>
      <c r="BK37" s="88">
        <f t="shared" si="3"/>
        <v>1.5446145359260699E-2</v>
      </c>
      <c r="BL37" s="76"/>
      <c r="BM37" s="76"/>
      <c r="BN37" s="77"/>
    </row>
    <row r="38" spans="16:66" x14ac:dyDescent="0.2">
      <c r="P38" s="73" t="s">
        <v>265</v>
      </c>
      <c r="Q38" s="74">
        <v>5545.5</v>
      </c>
      <c r="R38" s="77">
        <v>4.58E-2</v>
      </c>
      <c r="S38" s="75">
        <f t="shared" si="0"/>
        <v>-4.7819368131868156E-2</v>
      </c>
      <c r="T38" s="75"/>
      <c r="U38" s="76"/>
      <c r="V38" s="77"/>
      <c r="AE38" s="73" t="s">
        <v>265</v>
      </c>
      <c r="AF38" s="86">
        <v>770.15</v>
      </c>
      <c r="AG38" s="77">
        <v>6.6400000000000001E-2</v>
      </c>
      <c r="AH38" s="88">
        <f t="shared" si="1"/>
        <v>-2.5496646842971038E-2</v>
      </c>
      <c r="AI38" s="76"/>
      <c r="AJ38" s="76"/>
      <c r="AK38" s="77"/>
      <c r="AS38" s="73" t="s">
        <v>265</v>
      </c>
      <c r="AT38" s="86">
        <v>399.66</v>
      </c>
      <c r="AU38" s="77">
        <v>3.5499999999999997E-2</v>
      </c>
      <c r="AV38" s="88">
        <f t="shared" si="2"/>
        <v>-1.0105513449249481E-2</v>
      </c>
      <c r="AW38" s="76"/>
      <c r="AX38" s="76"/>
      <c r="AY38" s="77"/>
      <c r="BH38" s="73" t="s">
        <v>265</v>
      </c>
      <c r="BI38" s="86">
        <v>362.5</v>
      </c>
      <c r="BJ38" s="77">
        <v>5.7000000000000002E-3</v>
      </c>
      <c r="BK38" s="88">
        <f t="shared" si="3"/>
        <v>-1.5347005296754035E-2</v>
      </c>
      <c r="BL38" s="76"/>
      <c r="BM38" s="76"/>
      <c r="BN38" s="77"/>
    </row>
    <row r="39" spans="16:66" x14ac:dyDescent="0.2">
      <c r="P39" s="73" t="s">
        <v>266</v>
      </c>
      <c r="Q39" s="78">
        <v>5302.5</v>
      </c>
      <c r="R39" s="79">
        <v>-1.5699999999999999E-2</v>
      </c>
      <c r="S39" s="75">
        <f t="shared" si="0"/>
        <v>-4.381931295645114E-2</v>
      </c>
      <c r="T39" s="75"/>
      <c r="U39" s="76"/>
      <c r="V39" s="79"/>
      <c r="AE39" s="73" t="s">
        <v>266</v>
      </c>
      <c r="AF39" s="87">
        <v>722.2</v>
      </c>
      <c r="AG39" s="79">
        <v>-8.0000000000000004E-4</v>
      </c>
      <c r="AH39" s="88">
        <f t="shared" si="1"/>
        <v>-6.226059858469124E-2</v>
      </c>
      <c r="AI39" s="76"/>
      <c r="AJ39" s="76"/>
      <c r="AK39" s="79"/>
      <c r="AS39" s="73" t="s">
        <v>266</v>
      </c>
      <c r="AT39" s="87">
        <v>385.96</v>
      </c>
      <c r="AU39" s="79">
        <v>-3.5000000000000001E-3</v>
      </c>
      <c r="AV39" s="88">
        <f t="shared" si="2"/>
        <v>-3.4279137266676751E-2</v>
      </c>
      <c r="AW39" s="76"/>
      <c r="AX39" s="76"/>
      <c r="AY39" s="79"/>
      <c r="BH39" s="73" t="s">
        <v>266</v>
      </c>
      <c r="BI39" s="86">
        <v>360.45</v>
      </c>
      <c r="BJ39" s="77">
        <v>2.1499999999999998E-2</v>
      </c>
      <c r="BK39" s="88">
        <f t="shared" si="3"/>
        <v>-5.655172413793097E-3</v>
      </c>
      <c r="BL39" s="76"/>
      <c r="BM39" s="76"/>
      <c r="BN39" s="77"/>
    </row>
    <row r="40" spans="16:66" x14ac:dyDescent="0.2">
      <c r="P40" s="73" t="s">
        <v>267</v>
      </c>
      <c r="Q40" s="78">
        <v>5387</v>
      </c>
      <c r="R40" s="79">
        <v>-7.0900000000000005E-2</v>
      </c>
      <c r="S40" s="75">
        <f t="shared" si="0"/>
        <v>1.5935879302215961E-2</v>
      </c>
      <c r="T40" s="75"/>
      <c r="U40" s="76"/>
      <c r="V40" s="79"/>
      <c r="AE40" s="73" t="s">
        <v>267</v>
      </c>
      <c r="AF40" s="87">
        <v>722.75</v>
      </c>
      <c r="AG40" s="79">
        <v>-4.2299999999999997E-2</v>
      </c>
      <c r="AH40" s="88">
        <f t="shared" si="1"/>
        <v>7.6156189421205944E-4</v>
      </c>
      <c r="AI40" s="76"/>
      <c r="AJ40" s="76"/>
      <c r="AK40" s="79"/>
      <c r="AS40" s="73" t="s">
        <v>267</v>
      </c>
      <c r="AT40" s="87">
        <v>387.3</v>
      </c>
      <c r="AU40" s="79">
        <v>-6.1699999999999998E-2</v>
      </c>
      <c r="AV40" s="88">
        <f t="shared" si="2"/>
        <v>3.4718623691574191E-3</v>
      </c>
      <c r="AW40" s="76"/>
      <c r="AX40" s="76"/>
      <c r="AY40" s="79"/>
      <c r="BH40" s="73" t="s">
        <v>267</v>
      </c>
      <c r="BI40" s="87">
        <v>352.85</v>
      </c>
      <c r="BJ40" s="79">
        <v>-2.2599999999999999E-2</v>
      </c>
      <c r="BK40" s="88">
        <f t="shared" si="3"/>
        <v>-2.1084755167152025E-2</v>
      </c>
      <c r="BL40" s="76"/>
      <c r="BM40" s="76"/>
      <c r="BN40" s="79"/>
    </row>
    <row r="41" spans="16:66" x14ac:dyDescent="0.2">
      <c r="P41" s="73" t="s">
        <v>268</v>
      </c>
      <c r="Q41" s="74">
        <v>5798</v>
      </c>
      <c r="R41" s="77">
        <v>3.6499999999999998E-2</v>
      </c>
      <c r="S41" s="75">
        <f t="shared" si="0"/>
        <v>7.6294783738630079E-2</v>
      </c>
      <c r="T41" s="75"/>
      <c r="U41" s="76"/>
      <c r="V41" s="77"/>
      <c r="AE41" s="73" t="s">
        <v>268</v>
      </c>
      <c r="AF41" s="87">
        <v>754.65</v>
      </c>
      <c r="AG41" s="79">
        <v>-2.2499999999999999E-2</v>
      </c>
      <c r="AH41" s="88">
        <f t="shared" si="1"/>
        <v>4.4136976824628027E-2</v>
      </c>
      <c r="AI41" s="76"/>
      <c r="AJ41" s="76"/>
      <c r="AK41" s="79"/>
      <c r="AS41" s="73" t="s">
        <v>268</v>
      </c>
      <c r="AT41" s="87">
        <v>412.76</v>
      </c>
      <c r="AU41" s="79">
        <v>-1.8499999999999999E-2</v>
      </c>
      <c r="AV41" s="88">
        <f t="shared" si="2"/>
        <v>6.5737154660469921E-2</v>
      </c>
      <c r="AW41" s="76"/>
      <c r="AX41" s="76"/>
      <c r="AY41" s="79"/>
      <c r="BH41" s="73" t="s">
        <v>268</v>
      </c>
      <c r="BI41" s="86">
        <v>361</v>
      </c>
      <c r="BJ41" s="77">
        <v>6.25E-2</v>
      </c>
      <c r="BK41" s="88">
        <f t="shared" si="3"/>
        <v>2.3097633555335007E-2</v>
      </c>
      <c r="BL41" s="76"/>
      <c r="BM41" s="76"/>
      <c r="BN41" s="77"/>
    </row>
    <row r="42" spans="16:66" x14ac:dyDescent="0.2">
      <c r="P42" s="73" t="s">
        <v>269</v>
      </c>
      <c r="Q42" s="78">
        <v>5594</v>
      </c>
      <c r="R42" s="79">
        <v>-2.47E-2</v>
      </c>
      <c r="S42" s="75">
        <f t="shared" si="0"/>
        <v>-3.5184546395308769E-2</v>
      </c>
      <c r="T42" s="75"/>
      <c r="U42" s="76"/>
      <c r="V42" s="79"/>
      <c r="AE42" s="73" t="s">
        <v>269</v>
      </c>
      <c r="AF42" s="86">
        <v>772.05</v>
      </c>
      <c r="AG42" s="77">
        <v>2.12E-2</v>
      </c>
      <c r="AH42" s="88">
        <f t="shared" si="1"/>
        <v>2.3057046312860319E-2</v>
      </c>
      <c r="AI42" s="76"/>
      <c r="AJ42" s="76"/>
      <c r="AK42" s="77"/>
      <c r="AS42" s="73" t="s">
        <v>269</v>
      </c>
      <c r="AT42" s="86">
        <v>420.52</v>
      </c>
      <c r="AU42" s="77">
        <v>4.1000000000000003E-3</v>
      </c>
      <c r="AV42" s="88">
        <f t="shared" si="2"/>
        <v>1.8800271344122432E-2</v>
      </c>
      <c r="AW42" s="76"/>
      <c r="AX42" s="76"/>
      <c r="AY42" s="77"/>
      <c r="BH42" s="73" t="s">
        <v>269</v>
      </c>
      <c r="BI42" s="87">
        <v>339.75</v>
      </c>
      <c r="BJ42" s="79">
        <v>-6.6199999999999995E-2</v>
      </c>
      <c r="BK42" s="88">
        <f t="shared" si="3"/>
        <v>-5.8864265927977888E-2</v>
      </c>
      <c r="BL42" s="76"/>
      <c r="BM42" s="76"/>
      <c r="BN42" s="79"/>
    </row>
    <row r="43" spans="16:66" x14ac:dyDescent="0.2">
      <c r="P43" s="73" t="s">
        <v>270</v>
      </c>
      <c r="Q43" s="78">
        <v>5735.5</v>
      </c>
      <c r="R43" s="79">
        <v>-4.0000000000000001E-3</v>
      </c>
      <c r="S43" s="75">
        <f t="shared" si="0"/>
        <v>2.5294958884519048E-2</v>
      </c>
      <c r="T43" s="75"/>
      <c r="U43" s="76"/>
      <c r="V43" s="79"/>
      <c r="AE43" s="73" t="s">
        <v>270</v>
      </c>
      <c r="AF43" s="86">
        <v>756.05</v>
      </c>
      <c r="AG43" s="77">
        <v>3.8699999999999998E-2</v>
      </c>
      <c r="AH43" s="88">
        <f t="shared" si="1"/>
        <v>-2.0724046370053761E-2</v>
      </c>
      <c r="AI43" s="76"/>
      <c r="AJ43" s="76"/>
      <c r="AK43" s="77"/>
      <c r="AS43" s="73" t="s">
        <v>270</v>
      </c>
      <c r="AT43" s="86">
        <v>418.8</v>
      </c>
      <c r="AU43" s="77">
        <v>3.7100000000000001E-2</v>
      </c>
      <c r="AV43" s="88">
        <f t="shared" si="2"/>
        <v>-4.0901740701987377E-3</v>
      </c>
      <c r="AW43" s="76"/>
      <c r="AX43" s="76"/>
      <c r="AY43" s="77"/>
      <c r="BH43" s="73" t="s">
        <v>270</v>
      </c>
      <c r="BI43" s="86">
        <v>363.85</v>
      </c>
      <c r="BJ43" s="77">
        <v>3.5400000000000001E-2</v>
      </c>
      <c r="BK43" s="88">
        <f t="shared" si="3"/>
        <v>7.0934510669609985E-2</v>
      </c>
      <c r="BL43" s="76"/>
      <c r="BM43" s="76"/>
      <c r="BN43" s="77"/>
    </row>
    <row r="44" spans="16:66" x14ac:dyDescent="0.2">
      <c r="P44" s="73" t="s">
        <v>271</v>
      </c>
      <c r="Q44" s="78">
        <v>5758.5</v>
      </c>
      <c r="R44" s="79">
        <v>-2.3E-3</v>
      </c>
      <c r="S44" s="75">
        <f t="shared" si="0"/>
        <v>4.0101124575016023E-3</v>
      </c>
      <c r="T44" s="75"/>
      <c r="U44" s="76"/>
      <c r="V44" s="79"/>
      <c r="AE44" s="73" t="s">
        <v>271</v>
      </c>
      <c r="AF44" s="87">
        <v>727.85</v>
      </c>
      <c r="AG44" s="79">
        <v>-6.8999999999999999E-3</v>
      </c>
      <c r="AH44" s="88">
        <f t="shared" si="1"/>
        <v>-3.7299120428542998E-2</v>
      </c>
      <c r="AI44" s="76"/>
      <c r="AJ44" s="76"/>
      <c r="AK44" s="79"/>
      <c r="AS44" s="73" t="s">
        <v>271</v>
      </c>
      <c r="AT44" s="86">
        <v>403.82</v>
      </c>
      <c r="AU44" s="77">
        <v>1.2E-2</v>
      </c>
      <c r="AV44" s="88">
        <f t="shared" si="2"/>
        <v>-3.5768863419293306E-2</v>
      </c>
      <c r="AW44" s="76"/>
      <c r="AX44" s="76"/>
      <c r="AY44" s="77"/>
      <c r="BH44" s="73" t="s">
        <v>271</v>
      </c>
      <c r="BI44" s="87">
        <v>351.4</v>
      </c>
      <c r="BJ44" s="79">
        <v>-1.4E-3</v>
      </c>
      <c r="BK44" s="88">
        <f t="shared" si="3"/>
        <v>-3.4217397279098671E-2</v>
      </c>
      <c r="BL44" s="76"/>
      <c r="BM44" s="76"/>
      <c r="BN44" s="79"/>
    </row>
    <row r="45" spans="16:66" x14ac:dyDescent="0.2">
      <c r="P45" s="73" t="s">
        <v>272</v>
      </c>
      <c r="Q45" s="78">
        <v>5771.5</v>
      </c>
      <c r="R45" s="79">
        <v>-4.0000000000000001E-3</v>
      </c>
      <c r="S45" s="75">
        <f t="shared" si="0"/>
        <v>2.2575323434921302E-3</v>
      </c>
      <c r="T45" s="75"/>
      <c r="U45" s="76"/>
      <c r="V45" s="79"/>
      <c r="AE45" s="73" t="s">
        <v>272</v>
      </c>
      <c r="AF45" s="87">
        <v>732.9</v>
      </c>
      <c r="AG45" s="79">
        <v>-2.9000000000000001E-2</v>
      </c>
      <c r="AH45" s="88">
        <f t="shared" si="1"/>
        <v>6.9382427698014837E-3</v>
      </c>
      <c r="AI45" s="76"/>
      <c r="AJ45" s="76"/>
      <c r="AK45" s="79"/>
      <c r="AS45" s="73" t="s">
        <v>272</v>
      </c>
      <c r="AT45" s="87">
        <v>399.04</v>
      </c>
      <c r="AU45" s="79">
        <v>-1.8800000000000001E-2</v>
      </c>
      <c r="AV45" s="88">
        <f t="shared" si="2"/>
        <v>-1.1836957060076259E-2</v>
      </c>
      <c r="AW45" s="76"/>
      <c r="AX45" s="76"/>
      <c r="AY45" s="79"/>
      <c r="BH45" s="73" t="s">
        <v>272</v>
      </c>
      <c r="BI45" s="86">
        <v>351.9</v>
      </c>
      <c r="BJ45" s="77">
        <v>1.6E-2</v>
      </c>
      <c r="BK45" s="88">
        <f t="shared" si="3"/>
        <v>1.422879908935748E-3</v>
      </c>
      <c r="BL45" s="76"/>
      <c r="BM45" s="76"/>
      <c r="BN45" s="77"/>
    </row>
    <row r="46" spans="16:66" x14ac:dyDescent="0.2">
      <c r="P46" s="73" t="s">
        <v>273</v>
      </c>
      <c r="Q46" s="74">
        <v>5794.5</v>
      </c>
      <c r="R46" s="77">
        <v>3.7100000000000001E-2</v>
      </c>
      <c r="S46" s="75">
        <f t="shared" si="0"/>
        <v>3.9850991943168879E-3</v>
      </c>
      <c r="T46" s="75"/>
      <c r="U46" s="76"/>
      <c r="V46" s="77"/>
      <c r="AE46" s="73" t="s">
        <v>273</v>
      </c>
      <c r="AF46" s="86">
        <v>754.8</v>
      </c>
      <c r="AG46" s="77">
        <v>6.6299999999999998E-2</v>
      </c>
      <c r="AH46" s="88">
        <f t="shared" si="1"/>
        <v>2.9881293491608618E-2</v>
      </c>
      <c r="AI46" s="76"/>
      <c r="AJ46" s="76"/>
      <c r="AK46" s="77"/>
      <c r="AS46" s="73" t="s">
        <v>273</v>
      </c>
      <c r="AT46" s="86">
        <v>406.7</v>
      </c>
      <c r="AU46" s="77">
        <v>1.5599999999999999E-2</v>
      </c>
      <c r="AV46" s="88">
        <f t="shared" si="2"/>
        <v>1.9196070569366341E-2</v>
      </c>
      <c r="AW46" s="76"/>
      <c r="AX46" s="76"/>
      <c r="AY46" s="77"/>
      <c r="BH46" s="73" t="s">
        <v>273</v>
      </c>
      <c r="BI46" s="87">
        <v>346.35</v>
      </c>
      <c r="BJ46" s="79">
        <v>-2.3800000000000002E-2</v>
      </c>
      <c r="BK46" s="88">
        <f t="shared" si="3"/>
        <v>-1.577152600170495E-2</v>
      </c>
      <c r="BL46" s="76"/>
      <c r="BM46" s="76"/>
      <c r="BN46" s="79"/>
    </row>
    <row r="47" spans="16:66" x14ac:dyDescent="0.2">
      <c r="P47" s="73" t="s">
        <v>274</v>
      </c>
      <c r="Q47" s="74">
        <v>5587</v>
      </c>
      <c r="R47" s="77">
        <v>3.0999999999999999E-3</v>
      </c>
      <c r="S47" s="75">
        <f t="shared" si="0"/>
        <v>-3.5809819656570929E-2</v>
      </c>
      <c r="T47" s="75"/>
      <c r="U47" s="76"/>
      <c r="V47" s="77"/>
      <c r="AE47" s="73" t="s">
        <v>274</v>
      </c>
      <c r="AF47" s="87">
        <v>707.85</v>
      </c>
      <c r="AG47" s="79">
        <v>-5.1400000000000001E-2</v>
      </c>
      <c r="AH47" s="88">
        <f t="shared" si="1"/>
        <v>-6.2201907790143007E-2</v>
      </c>
      <c r="AI47" s="76"/>
      <c r="AJ47" s="76"/>
      <c r="AK47" s="79"/>
      <c r="AS47" s="73" t="s">
        <v>274</v>
      </c>
      <c r="AT47" s="86">
        <v>400.46</v>
      </c>
      <c r="AU47" s="77">
        <v>4.6899999999999997E-2</v>
      </c>
      <c r="AV47" s="88">
        <f t="shared" si="2"/>
        <v>-1.5343004671748206E-2</v>
      </c>
      <c r="AW47" s="76"/>
      <c r="AX47" s="76"/>
      <c r="AY47" s="77"/>
      <c r="BH47" s="73" t="s">
        <v>274</v>
      </c>
      <c r="BI47" s="87">
        <v>354.8</v>
      </c>
      <c r="BJ47" s="79">
        <v>-3.3500000000000002E-2</v>
      </c>
      <c r="BK47" s="88">
        <f t="shared" si="3"/>
        <v>2.4397285982387773E-2</v>
      </c>
      <c r="BL47" s="76"/>
      <c r="BM47" s="76"/>
      <c r="BN47" s="79"/>
    </row>
    <row r="48" spans="16:66" x14ac:dyDescent="0.2">
      <c r="P48" s="73" t="s">
        <v>275</v>
      </c>
      <c r="Q48" s="78">
        <v>5570</v>
      </c>
      <c r="R48" s="79">
        <v>-6.7000000000000002E-3</v>
      </c>
      <c r="S48" s="75">
        <f t="shared" si="0"/>
        <v>-3.0427778772149638E-3</v>
      </c>
      <c r="T48" s="75"/>
      <c r="U48" s="76"/>
      <c r="V48" s="79"/>
      <c r="AE48" s="73" t="s">
        <v>275</v>
      </c>
      <c r="AF48" s="87">
        <v>746.2</v>
      </c>
      <c r="AG48" s="79">
        <v>-1.47E-2</v>
      </c>
      <c r="AH48" s="88">
        <f t="shared" si="1"/>
        <v>5.4178145087236063E-2</v>
      </c>
      <c r="AI48" s="76"/>
      <c r="AJ48" s="76"/>
      <c r="AK48" s="79"/>
      <c r="AS48" s="73" t="s">
        <v>275</v>
      </c>
      <c r="AT48" s="87">
        <v>382.52</v>
      </c>
      <c r="AU48" s="79">
        <v>-1.7500000000000002E-2</v>
      </c>
      <c r="AV48" s="88">
        <f t="shared" si="2"/>
        <v>-4.4798481745992103E-2</v>
      </c>
      <c r="AW48" s="76"/>
      <c r="AX48" s="76"/>
      <c r="AY48" s="79"/>
      <c r="BH48" s="73" t="s">
        <v>275</v>
      </c>
      <c r="BI48" s="86">
        <v>367.1</v>
      </c>
      <c r="BJ48" s="77">
        <v>3.3099999999999997E-2</v>
      </c>
      <c r="BK48" s="88">
        <f t="shared" si="3"/>
        <v>3.4667418263810701E-2</v>
      </c>
      <c r="BL48" s="76"/>
      <c r="BM48" s="76"/>
      <c r="BN48" s="77"/>
    </row>
    <row r="49" spans="16:66" x14ac:dyDescent="0.2">
      <c r="P49" s="73" t="s">
        <v>276</v>
      </c>
      <c r="Q49" s="74">
        <v>5607.5</v>
      </c>
      <c r="R49" s="77">
        <v>1.7600000000000001E-2</v>
      </c>
      <c r="S49" s="75">
        <f t="shared" si="0"/>
        <v>6.7324955116696561E-3</v>
      </c>
      <c r="T49" s="75"/>
      <c r="U49" s="76"/>
      <c r="V49" s="77"/>
      <c r="AE49" s="73" t="s">
        <v>276</v>
      </c>
      <c r="AF49" s="87">
        <v>757.3</v>
      </c>
      <c r="AG49" s="79">
        <v>-1.06E-2</v>
      </c>
      <c r="AH49" s="88">
        <f t="shared" si="1"/>
        <v>1.487536853390492E-2</v>
      </c>
      <c r="AI49" s="76"/>
      <c r="AJ49" s="76"/>
      <c r="AK49" s="79"/>
      <c r="AS49" s="73" t="s">
        <v>276</v>
      </c>
      <c r="AT49" s="87">
        <v>389.32</v>
      </c>
      <c r="AU49" s="79">
        <v>-1.4E-3</v>
      </c>
      <c r="AV49" s="88">
        <f t="shared" si="2"/>
        <v>1.7776848269371648E-2</v>
      </c>
      <c r="AW49" s="76"/>
      <c r="AX49" s="76"/>
      <c r="AY49" s="79"/>
      <c r="BH49" s="73" t="s">
        <v>276</v>
      </c>
      <c r="BI49" s="86">
        <v>355.35</v>
      </c>
      <c r="BJ49" s="77">
        <v>3.8100000000000002E-2</v>
      </c>
      <c r="BK49" s="88">
        <f t="shared" si="3"/>
        <v>-3.2007627349496026E-2</v>
      </c>
      <c r="BL49" s="76"/>
      <c r="BM49" s="76"/>
      <c r="BN49" s="77"/>
    </row>
    <row r="50" spans="16:66" x14ac:dyDescent="0.2">
      <c r="P50" s="73" t="s">
        <v>277</v>
      </c>
      <c r="Q50" s="74">
        <v>5510.5</v>
      </c>
      <c r="R50" s="77">
        <v>4.4000000000000003E-3</v>
      </c>
      <c r="S50" s="75">
        <f t="shared" si="0"/>
        <v>-1.7298261257244762E-2</v>
      </c>
      <c r="T50" s="75"/>
      <c r="U50" s="76"/>
      <c r="V50" s="77"/>
      <c r="AE50" s="73" t="s">
        <v>277</v>
      </c>
      <c r="AF50" s="86">
        <v>765.4</v>
      </c>
      <c r="AG50" s="77">
        <v>6.3899999999999998E-2</v>
      </c>
      <c r="AH50" s="88">
        <f t="shared" si="1"/>
        <v>1.0695893305163073E-2</v>
      </c>
      <c r="AI50" s="76"/>
      <c r="AJ50" s="76"/>
      <c r="AK50" s="77"/>
      <c r="AS50" s="73" t="s">
        <v>277</v>
      </c>
      <c r="AT50" s="87">
        <v>389.88</v>
      </c>
      <c r="AU50" s="79">
        <v>-1.8E-3</v>
      </c>
      <c r="AV50" s="88">
        <f t="shared" si="2"/>
        <v>1.4384054248433031E-3</v>
      </c>
      <c r="AW50" s="76"/>
      <c r="AX50" s="76"/>
      <c r="AY50" s="79"/>
      <c r="BH50" s="73" t="s">
        <v>277</v>
      </c>
      <c r="BI50" s="86">
        <v>342.3</v>
      </c>
      <c r="BJ50" s="77">
        <v>0.1779</v>
      </c>
      <c r="BK50" s="88">
        <f t="shared" si="3"/>
        <v>-3.6724356268467706E-2</v>
      </c>
      <c r="BL50" s="76"/>
      <c r="BM50" s="76"/>
      <c r="BN50" s="77"/>
    </row>
    <row r="51" spans="16:66" x14ac:dyDescent="0.2">
      <c r="P51" s="73" t="s">
        <v>278</v>
      </c>
      <c r="Q51" s="78">
        <v>5486.5</v>
      </c>
      <c r="R51" s="79">
        <v>-2.7000000000000001E-3</v>
      </c>
      <c r="S51" s="75">
        <f t="shared" si="0"/>
        <v>-4.3553216586517118E-3</v>
      </c>
      <c r="T51" s="75"/>
      <c r="U51" s="76"/>
      <c r="V51" s="79"/>
      <c r="AE51" s="73" t="s">
        <v>278</v>
      </c>
      <c r="AF51" s="86">
        <v>719.45</v>
      </c>
      <c r="AG51" s="77">
        <v>2.5000000000000001E-3</v>
      </c>
      <c r="AH51" s="88">
        <f t="shared" si="1"/>
        <v>-6.0033969166448875E-2</v>
      </c>
      <c r="AI51" s="76"/>
      <c r="AJ51" s="76"/>
      <c r="AK51" s="77"/>
      <c r="AS51" s="73" t="s">
        <v>278</v>
      </c>
      <c r="AT51" s="86">
        <v>390.58</v>
      </c>
      <c r="AU51" s="77">
        <v>6.8699999999999997E-2</v>
      </c>
      <c r="AV51" s="88">
        <f t="shared" si="2"/>
        <v>1.7954242330973091E-3</v>
      </c>
      <c r="AW51" s="76"/>
      <c r="AX51" s="76"/>
      <c r="AY51" s="77"/>
      <c r="BH51" s="73" t="s">
        <v>278</v>
      </c>
      <c r="BI51" s="87">
        <v>290.60000000000002</v>
      </c>
      <c r="BJ51" s="79">
        <v>-3.2599999999999997E-2</v>
      </c>
      <c r="BK51" s="88">
        <f t="shared" si="3"/>
        <v>-0.15103710195734732</v>
      </c>
      <c r="BL51" s="76"/>
      <c r="BM51" s="76"/>
      <c r="BN51" s="79"/>
    </row>
    <row r="52" spans="16:66" x14ac:dyDescent="0.2">
      <c r="P52" s="73" t="s">
        <v>279</v>
      </c>
      <c r="Q52" s="74">
        <v>5501.5</v>
      </c>
      <c r="R52" s="77">
        <v>1.2E-2</v>
      </c>
      <c r="S52" s="75">
        <f t="shared" si="0"/>
        <v>2.733983413834018E-3</v>
      </c>
      <c r="T52" s="75"/>
      <c r="U52" s="76"/>
      <c r="V52" s="77"/>
      <c r="AE52" s="73" t="s">
        <v>279</v>
      </c>
      <c r="AF52" s="86">
        <v>717.65</v>
      </c>
      <c r="AG52" s="77">
        <v>6.4199999999999993E-2</v>
      </c>
      <c r="AH52" s="88">
        <f t="shared" si="1"/>
        <v>-2.5019111821531492E-3</v>
      </c>
      <c r="AI52" s="76"/>
      <c r="AJ52" s="76"/>
      <c r="AK52" s="77"/>
      <c r="AS52" s="73" t="s">
        <v>279</v>
      </c>
      <c r="AT52" s="86">
        <v>365.46</v>
      </c>
      <c r="AU52" s="77">
        <v>0.06</v>
      </c>
      <c r="AV52" s="88">
        <f t="shared" si="2"/>
        <v>-6.4314609042961712E-2</v>
      </c>
      <c r="AW52" s="76"/>
      <c r="AX52" s="76"/>
      <c r="AY52" s="77"/>
      <c r="BH52" s="73" t="s">
        <v>279</v>
      </c>
      <c r="BI52" s="86">
        <v>300.39999999999998</v>
      </c>
      <c r="BJ52" s="77">
        <v>0.1069</v>
      </c>
      <c r="BK52" s="88">
        <f t="shared" si="3"/>
        <v>3.3723331039229087E-2</v>
      </c>
      <c r="BL52" s="76"/>
      <c r="BM52" s="76"/>
      <c r="BN52" s="77"/>
    </row>
    <row r="53" spans="16:66" x14ac:dyDescent="0.2">
      <c r="P53" s="73" t="s">
        <v>280</v>
      </c>
      <c r="Q53" s="74">
        <v>5436</v>
      </c>
      <c r="R53" s="77">
        <v>2.4199999999999999E-2</v>
      </c>
      <c r="S53" s="75">
        <f t="shared" si="0"/>
        <v>-1.1905843860765208E-2</v>
      </c>
      <c r="T53" s="75"/>
      <c r="U53" s="76"/>
      <c r="V53" s="77"/>
      <c r="AE53" s="73" t="s">
        <v>280</v>
      </c>
      <c r="AF53" s="87">
        <v>674.35</v>
      </c>
      <c r="AG53" s="79">
        <v>-3.7499999999999999E-2</v>
      </c>
      <c r="AH53" s="88">
        <f t="shared" si="1"/>
        <v>-6.0335818295826571E-2</v>
      </c>
      <c r="AI53" s="76"/>
      <c r="AJ53" s="76"/>
      <c r="AK53" s="79"/>
      <c r="AS53" s="73" t="s">
        <v>280</v>
      </c>
      <c r="AT53" s="87">
        <v>344.76</v>
      </c>
      <c r="AU53" s="79">
        <v>-5.7000000000000002E-3</v>
      </c>
      <c r="AV53" s="88">
        <f t="shared" si="2"/>
        <v>-5.6640945657527419E-2</v>
      </c>
      <c r="AW53" s="76"/>
      <c r="AX53" s="76"/>
      <c r="AY53" s="79"/>
      <c r="BH53" s="73" t="s">
        <v>280</v>
      </c>
      <c r="BI53" s="87">
        <v>271.39999999999998</v>
      </c>
      <c r="BJ53" s="79">
        <v>-4.8999999999999998E-3</v>
      </c>
      <c r="BK53" s="88">
        <f t="shared" si="3"/>
        <v>-9.6537949400798961E-2</v>
      </c>
      <c r="BL53" s="76"/>
      <c r="BM53" s="76"/>
      <c r="BN53" s="79"/>
    </row>
    <row r="54" spans="16:66" x14ac:dyDescent="0.2">
      <c r="P54" s="73" t="s">
        <v>281</v>
      </c>
      <c r="Q54" s="78">
        <v>5307.5</v>
      </c>
      <c r="R54" s="79">
        <v>-2.0799999999999999E-2</v>
      </c>
      <c r="S54" s="75">
        <f t="shared" si="0"/>
        <v>-2.3638704930095678E-2</v>
      </c>
      <c r="T54" s="75"/>
      <c r="U54" s="76"/>
      <c r="V54" s="79"/>
      <c r="AE54" s="73" t="s">
        <v>281</v>
      </c>
      <c r="AF54" s="87">
        <v>700.65</v>
      </c>
      <c r="AG54" s="79">
        <v>-3.8699999999999998E-2</v>
      </c>
      <c r="AH54" s="88">
        <f t="shared" si="1"/>
        <v>3.9000519018313806E-2</v>
      </c>
      <c r="AI54" s="76"/>
      <c r="AJ54" s="76"/>
      <c r="AK54" s="79"/>
      <c r="AS54" s="73" t="s">
        <v>281</v>
      </c>
      <c r="AT54" s="87">
        <v>346.74</v>
      </c>
      <c r="AU54" s="79">
        <v>-1.8100000000000002E-2</v>
      </c>
      <c r="AV54" s="88">
        <f t="shared" si="2"/>
        <v>5.7431256526279117E-3</v>
      </c>
      <c r="AW54" s="76"/>
      <c r="AX54" s="76"/>
      <c r="AY54" s="79"/>
      <c r="BH54" s="73" t="s">
        <v>281</v>
      </c>
      <c r="BI54" s="87">
        <v>272.75</v>
      </c>
      <c r="BJ54" s="79">
        <v>-6.0900000000000003E-2</v>
      </c>
      <c r="BK54" s="88">
        <f t="shared" si="3"/>
        <v>4.9742078113486077E-3</v>
      </c>
      <c r="BL54" s="76"/>
      <c r="BM54" s="76"/>
      <c r="BN54" s="79"/>
    </row>
    <row r="55" spans="16:66" x14ac:dyDescent="0.2">
      <c r="P55" s="73" t="s">
        <v>282</v>
      </c>
      <c r="Q55" s="78">
        <v>5420.5</v>
      </c>
      <c r="R55" s="79">
        <v>-6.3E-3</v>
      </c>
      <c r="S55" s="75">
        <f t="shared" si="0"/>
        <v>2.1290626471973662E-2</v>
      </c>
      <c r="T55" s="75"/>
      <c r="U55" s="76"/>
      <c r="V55" s="79"/>
      <c r="AE55" s="73" t="s">
        <v>282</v>
      </c>
      <c r="AF55" s="86">
        <v>728.85</v>
      </c>
      <c r="AG55" s="77">
        <v>1.7000000000000001E-2</v>
      </c>
      <c r="AH55" s="88">
        <f t="shared" si="1"/>
        <v>4.0248340826375628E-2</v>
      </c>
      <c r="AI55" s="76"/>
      <c r="AJ55" s="76"/>
      <c r="AK55" s="77"/>
      <c r="AS55" s="73" t="s">
        <v>282</v>
      </c>
      <c r="AT55" s="86">
        <v>353.12</v>
      </c>
      <c r="AU55" s="77">
        <v>1.6000000000000001E-3</v>
      </c>
      <c r="AV55" s="88">
        <f t="shared" si="2"/>
        <v>1.8399953855914974E-2</v>
      </c>
      <c r="AW55" s="76"/>
      <c r="AX55" s="76"/>
      <c r="AY55" s="77"/>
      <c r="BH55" s="73" t="s">
        <v>282</v>
      </c>
      <c r="BI55" s="86">
        <v>290.45</v>
      </c>
      <c r="BJ55" s="77">
        <v>2.5399999999999999E-2</v>
      </c>
      <c r="BK55" s="88">
        <f t="shared" si="3"/>
        <v>6.4894592117323624E-2</v>
      </c>
      <c r="BL55" s="76"/>
      <c r="BM55" s="76"/>
      <c r="BN55" s="77"/>
    </row>
    <row r="56" spans="16:66" x14ac:dyDescent="0.2">
      <c r="P56" s="73" t="s">
        <v>283</v>
      </c>
      <c r="Q56" s="74">
        <v>5454.6</v>
      </c>
      <c r="R56" s="77">
        <v>1.95E-2</v>
      </c>
      <c r="S56" s="75">
        <f t="shared" si="0"/>
        <v>6.2909325707960484E-3</v>
      </c>
      <c r="T56" s="75"/>
      <c r="U56" s="76"/>
      <c r="V56" s="77"/>
      <c r="AE56" s="73" t="s">
        <v>283</v>
      </c>
      <c r="AF56" s="86">
        <v>716.7</v>
      </c>
      <c r="AG56" s="77">
        <v>1.0200000000000001E-2</v>
      </c>
      <c r="AH56" s="88">
        <f t="shared" si="1"/>
        <v>-1.6670096727721684E-2</v>
      </c>
      <c r="AI56" s="76"/>
      <c r="AJ56" s="76"/>
      <c r="AK56" s="77"/>
      <c r="AS56" s="73" t="s">
        <v>283</v>
      </c>
      <c r="AT56" s="86">
        <v>352.54</v>
      </c>
      <c r="AU56" s="77">
        <v>8.3999999999999995E-3</v>
      </c>
      <c r="AV56" s="88">
        <f t="shared" si="2"/>
        <v>-1.642501132759322E-3</v>
      </c>
      <c r="AW56" s="76"/>
      <c r="AX56" s="76"/>
      <c r="AY56" s="77"/>
      <c r="BH56" s="73" t="s">
        <v>283</v>
      </c>
      <c r="BI56" s="86">
        <v>283.25</v>
      </c>
      <c r="BJ56" s="77">
        <v>1.8200000000000001E-2</v>
      </c>
      <c r="BK56" s="88">
        <f t="shared" si="3"/>
        <v>-2.4789120330521608E-2</v>
      </c>
      <c r="BL56" s="76"/>
      <c r="BM56" s="76"/>
      <c r="BN56" s="77"/>
    </row>
    <row r="57" spans="16:66" x14ac:dyDescent="0.2">
      <c r="P57" s="73" t="s">
        <v>284</v>
      </c>
      <c r="Q57" s="74">
        <v>5350.2</v>
      </c>
      <c r="R57" s="77">
        <v>6.5100000000000005E-2</v>
      </c>
      <c r="S57" s="75">
        <f t="shared" si="0"/>
        <v>-1.913980860191411E-2</v>
      </c>
      <c r="T57" s="75"/>
      <c r="U57" s="76"/>
      <c r="V57" s="77"/>
      <c r="AE57" s="73" t="s">
        <v>284</v>
      </c>
      <c r="AF57" s="86">
        <v>709.45</v>
      </c>
      <c r="AG57" s="77">
        <v>4.7800000000000002E-2</v>
      </c>
      <c r="AH57" s="88">
        <f t="shared" si="1"/>
        <v>-1.0115808567043416E-2</v>
      </c>
      <c r="AI57" s="76"/>
      <c r="AJ57" s="76"/>
      <c r="AK57" s="77"/>
      <c r="AS57" s="73" t="s">
        <v>284</v>
      </c>
      <c r="AT57" s="86">
        <v>349.62</v>
      </c>
      <c r="AU57" s="77">
        <v>0.03</v>
      </c>
      <c r="AV57" s="88">
        <f t="shared" si="2"/>
        <v>-8.2827480569581668E-3</v>
      </c>
      <c r="AW57" s="76"/>
      <c r="AX57" s="76"/>
      <c r="AY57" s="77"/>
      <c r="BH57" s="73" t="s">
        <v>284</v>
      </c>
      <c r="BI57" s="86">
        <v>278.2</v>
      </c>
      <c r="BJ57" s="77">
        <v>1.77E-2</v>
      </c>
      <c r="BK57" s="88">
        <f t="shared" si="3"/>
        <v>-1.7828773168579004E-2</v>
      </c>
      <c r="BL57" s="76"/>
      <c r="BM57" s="76"/>
      <c r="BN57" s="77"/>
    </row>
    <row r="58" spans="16:66" x14ac:dyDescent="0.2">
      <c r="P58" s="73" t="s">
        <v>285</v>
      </c>
      <c r="Q58" s="74">
        <v>5023.3999999999996</v>
      </c>
      <c r="R58" s="77">
        <v>1.7500000000000002E-2</v>
      </c>
      <c r="S58" s="75">
        <f t="shared" si="0"/>
        <v>-6.1081828716683551E-2</v>
      </c>
      <c r="T58" s="75"/>
      <c r="U58" s="76"/>
      <c r="V58" s="77"/>
      <c r="AE58" s="73" t="s">
        <v>285</v>
      </c>
      <c r="AF58" s="86">
        <v>677.1</v>
      </c>
      <c r="AG58" s="77">
        <v>2.4400000000000002E-2</v>
      </c>
      <c r="AH58" s="88">
        <f t="shared" si="1"/>
        <v>-4.5598703220804837E-2</v>
      </c>
      <c r="AI58" s="76"/>
      <c r="AJ58" s="76"/>
      <c r="AK58" s="77"/>
      <c r="AS58" s="73" t="s">
        <v>285</v>
      </c>
      <c r="AT58" s="86">
        <v>339.44</v>
      </c>
      <c r="AU58" s="77">
        <v>9.9000000000000008E-3</v>
      </c>
      <c r="AV58" s="88">
        <f t="shared" si="2"/>
        <v>-2.9117327384016956E-2</v>
      </c>
      <c r="AW58" s="76"/>
      <c r="AX58" s="76"/>
      <c r="AY58" s="77"/>
      <c r="BH58" s="73" t="s">
        <v>285</v>
      </c>
      <c r="BI58" s="86">
        <v>273.35000000000002</v>
      </c>
      <c r="BJ58" s="77">
        <v>3.3099999999999997E-2</v>
      </c>
      <c r="BK58" s="88">
        <f t="shared" si="3"/>
        <v>-1.7433501078360725E-2</v>
      </c>
      <c r="BL58" s="76"/>
      <c r="BM58" s="76"/>
      <c r="BN58" s="77"/>
    </row>
    <row r="59" spans="16:66" x14ac:dyDescent="0.2">
      <c r="P59" s="73" t="s">
        <v>286</v>
      </c>
      <c r="Q59" s="74">
        <v>4936.8999999999996</v>
      </c>
      <c r="R59" s="77">
        <v>2.5499999999999998E-2</v>
      </c>
      <c r="S59" s="75">
        <f t="shared" si="0"/>
        <v>-1.721941314647446E-2</v>
      </c>
      <c r="T59" s="75"/>
      <c r="U59" s="76"/>
      <c r="V59" s="77"/>
      <c r="AE59" s="73" t="s">
        <v>286</v>
      </c>
      <c r="AF59" s="87">
        <v>661</v>
      </c>
      <c r="AG59" s="79">
        <v>-5.16E-2</v>
      </c>
      <c r="AH59" s="88">
        <f t="shared" si="1"/>
        <v>-2.3777876236892648E-2</v>
      </c>
      <c r="AI59" s="76"/>
      <c r="AJ59" s="76"/>
      <c r="AK59" s="79"/>
      <c r="AS59" s="73" t="s">
        <v>286</v>
      </c>
      <c r="AT59" s="86">
        <v>336.1</v>
      </c>
      <c r="AU59" s="77">
        <v>7.7000000000000002E-3</v>
      </c>
      <c r="AV59" s="88">
        <f t="shared" si="2"/>
        <v>-9.8397360358236652E-3</v>
      </c>
      <c r="AW59" s="76"/>
      <c r="AX59" s="76"/>
      <c r="AY59" s="77"/>
      <c r="BH59" s="73" t="s">
        <v>286</v>
      </c>
      <c r="BI59" s="87">
        <v>264.60000000000002</v>
      </c>
      <c r="BJ59" s="79">
        <v>-6.2199999999999998E-2</v>
      </c>
      <c r="BK59" s="88">
        <f t="shared" si="3"/>
        <v>-3.201024327784896E-2</v>
      </c>
      <c r="BL59" s="76"/>
      <c r="BM59" s="76"/>
      <c r="BN59" s="79"/>
    </row>
    <row r="60" spans="16:66" x14ac:dyDescent="0.2">
      <c r="P60" s="73" t="s">
        <v>287</v>
      </c>
      <c r="Q60" s="74">
        <v>4814</v>
      </c>
      <c r="R60" s="77">
        <v>1.8100000000000002E-2</v>
      </c>
      <c r="S60" s="75">
        <f t="shared" si="0"/>
        <v>-2.4894164354149262E-2</v>
      </c>
      <c r="T60" s="75"/>
      <c r="U60" s="76"/>
      <c r="V60" s="77"/>
      <c r="AE60" s="73" t="s">
        <v>287</v>
      </c>
      <c r="AF60" s="86">
        <v>697</v>
      </c>
      <c r="AG60" s="77">
        <v>3.5999999999999997E-2</v>
      </c>
      <c r="AH60" s="88">
        <f t="shared" si="1"/>
        <v>5.4462934947050012E-2</v>
      </c>
      <c r="AI60" s="76"/>
      <c r="AJ60" s="76"/>
      <c r="AK60" s="77"/>
      <c r="AS60" s="73" t="s">
        <v>287</v>
      </c>
      <c r="AT60" s="86">
        <v>333.52</v>
      </c>
      <c r="AU60" s="77">
        <v>4.8099999999999997E-2</v>
      </c>
      <c r="AV60" s="88">
        <f t="shared" si="2"/>
        <v>-7.6762868193991363E-3</v>
      </c>
      <c r="AW60" s="76"/>
      <c r="AX60" s="76"/>
      <c r="AY60" s="77"/>
      <c r="BH60" s="73" t="s">
        <v>287</v>
      </c>
      <c r="BI60" s="86">
        <v>282.14999999999998</v>
      </c>
      <c r="BJ60" s="77">
        <v>7.8799999999999995E-2</v>
      </c>
      <c r="BK60" s="88">
        <f t="shared" si="3"/>
        <v>6.6326530612244694E-2</v>
      </c>
      <c r="BL60" s="76"/>
      <c r="BM60" s="76"/>
      <c r="BN60" s="77"/>
    </row>
    <row r="61" spans="16:66" x14ac:dyDescent="0.2">
      <c r="P61" s="73" t="s">
        <v>288</v>
      </c>
      <c r="Q61" s="78">
        <v>4728.25</v>
      </c>
      <c r="R61" s="79">
        <v>-4.1999999999999997E-3</v>
      </c>
      <c r="S61" s="75">
        <f t="shared" si="0"/>
        <v>-1.7812629829663473E-2</v>
      </c>
      <c r="T61" s="75"/>
      <c r="U61" s="76"/>
      <c r="V61" s="79"/>
      <c r="AE61" s="73" t="s">
        <v>288</v>
      </c>
      <c r="AF61" s="86">
        <v>672.8</v>
      </c>
      <c r="AG61" s="77">
        <v>4.0000000000000001E-3</v>
      </c>
      <c r="AH61" s="88">
        <f t="shared" si="1"/>
        <v>-3.4720229555236792E-2</v>
      </c>
      <c r="AI61" s="76"/>
      <c r="AJ61" s="76"/>
      <c r="AK61" s="77"/>
      <c r="AS61" s="73" t="s">
        <v>288</v>
      </c>
      <c r="AT61" s="87">
        <v>318.2</v>
      </c>
      <c r="AU61" s="79">
        <v>-1.01E-2</v>
      </c>
      <c r="AV61" s="88">
        <f t="shared" si="2"/>
        <v>-4.5934276804989183E-2</v>
      </c>
      <c r="AW61" s="76"/>
      <c r="AX61" s="76"/>
      <c r="AY61" s="79"/>
      <c r="BH61" s="73" t="s">
        <v>288</v>
      </c>
      <c r="BI61" s="87">
        <v>261.55</v>
      </c>
      <c r="BJ61" s="79">
        <v>-8.77E-2</v>
      </c>
      <c r="BK61" s="88">
        <f t="shared" si="3"/>
        <v>-7.3010809852914971E-2</v>
      </c>
      <c r="BL61" s="76"/>
      <c r="BM61" s="76"/>
      <c r="BN61" s="79"/>
    </row>
    <row r="62" spans="16:66" x14ac:dyDescent="0.2">
      <c r="P62" s="73" t="s">
        <v>289</v>
      </c>
      <c r="Q62" s="74">
        <v>4748.25</v>
      </c>
      <c r="R62" s="77">
        <v>3.3300000000000003E-2</v>
      </c>
      <c r="S62" s="75">
        <f t="shared" si="0"/>
        <v>4.2298947813672605E-3</v>
      </c>
      <c r="T62" s="75"/>
      <c r="U62" s="76"/>
      <c r="V62" s="77"/>
      <c r="AE62" s="73" t="s">
        <v>289</v>
      </c>
      <c r="AF62" s="86">
        <v>670.15</v>
      </c>
      <c r="AG62" s="77">
        <v>5.6800000000000003E-2</v>
      </c>
      <c r="AH62" s="88">
        <f t="shared" si="1"/>
        <v>-3.9387633769322195E-3</v>
      </c>
      <c r="AI62" s="76"/>
      <c r="AJ62" s="76"/>
      <c r="AK62" s="77"/>
      <c r="AS62" s="73" t="s">
        <v>289</v>
      </c>
      <c r="AT62" s="86">
        <v>321.45</v>
      </c>
      <c r="AU62" s="77">
        <v>2.9399999999999999E-2</v>
      </c>
      <c r="AV62" s="88">
        <f t="shared" si="2"/>
        <v>1.0213702074167275E-2</v>
      </c>
      <c r="AW62" s="76"/>
      <c r="AX62" s="76"/>
      <c r="AY62" s="77"/>
      <c r="BH62" s="73" t="s">
        <v>289</v>
      </c>
      <c r="BI62" s="86">
        <v>286.7</v>
      </c>
      <c r="BJ62" s="77">
        <v>3.04E-2</v>
      </c>
      <c r="BK62" s="88">
        <f t="shared" si="3"/>
        <v>9.6157522462244183E-2</v>
      </c>
      <c r="BL62" s="76"/>
      <c r="BM62" s="76"/>
      <c r="BN62" s="77"/>
    </row>
    <row r="63" spans="16:66" x14ac:dyDescent="0.2">
      <c r="P63" s="73" t="s">
        <v>290</v>
      </c>
      <c r="Q63" s="78">
        <v>4595.45</v>
      </c>
      <c r="R63" s="79">
        <v>-4.8899999999999999E-2</v>
      </c>
      <c r="S63" s="75">
        <f t="shared" si="0"/>
        <v>-3.2180276944137387E-2</v>
      </c>
      <c r="T63" s="75"/>
      <c r="U63" s="76"/>
      <c r="V63" s="79"/>
      <c r="AE63" s="73" t="s">
        <v>290</v>
      </c>
      <c r="AF63" s="87">
        <v>634.15</v>
      </c>
      <c r="AG63" s="79">
        <v>-6.0900000000000003E-2</v>
      </c>
      <c r="AH63" s="88">
        <f t="shared" si="1"/>
        <v>-5.3719316570916997E-2</v>
      </c>
      <c r="AI63" s="76"/>
      <c r="AJ63" s="76"/>
      <c r="AK63" s="79"/>
      <c r="AS63" s="73" t="s">
        <v>290</v>
      </c>
      <c r="AT63" s="87">
        <v>312.26</v>
      </c>
      <c r="AU63" s="79">
        <v>-6.1100000000000002E-2</v>
      </c>
      <c r="AV63" s="88">
        <f t="shared" si="2"/>
        <v>-2.8589205164100129E-2</v>
      </c>
      <c r="AW63" s="76"/>
      <c r="AX63" s="76"/>
      <c r="AY63" s="79"/>
      <c r="BH63" s="73" t="s">
        <v>290</v>
      </c>
      <c r="BI63" s="87">
        <v>278.25</v>
      </c>
      <c r="BJ63" s="79">
        <v>-7.8799999999999995E-2</v>
      </c>
      <c r="BK63" s="88">
        <f t="shared" si="3"/>
        <v>-2.947331705615619E-2</v>
      </c>
      <c r="BL63" s="76"/>
      <c r="BM63" s="76"/>
      <c r="BN63" s="79"/>
    </row>
    <row r="64" spans="16:66" x14ac:dyDescent="0.2">
      <c r="P64" s="73" t="s">
        <v>291</v>
      </c>
      <c r="Q64" s="78">
        <v>4831.8999999999996</v>
      </c>
      <c r="R64" s="79">
        <v>-2.18E-2</v>
      </c>
      <c r="S64" s="75">
        <f t="shared" si="0"/>
        <v>5.1453067708276734E-2</v>
      </c>
      <c r="T64" s="75"/>
      <c r="U64" s="76"/>
      <c r="V64" s="79"/>
      <c r="AE64" s="73" t="s">
        <v>291</v>
      </c>
      <c r="AF64" s="86">
        <v>675.3</v>
      </c>
      <c r="AG64" s="77">
        <v>0.16880000000000001</v>
      </c>
      <c r="AH64" s="88">
        <f t="shared" si="1"/>
        <v>6.4890010249940788E-2</v>
      </c>
      <c r="AI64" s="76"/>
      <c r="AJ64" s="76"/>
      <c r="AK64" s="77"/>
      <c r="AS64" s="73" t="s">
        <v>291</v>
      </c>
      <c r="AT64" s="87">
        <v>332.57</v>
      </c>
      <c r="AU64" s="79">
        <v>-1.18E-2</v>
      </c>
      <c r="AV64" s="88">
        <f t="shared" si="2"/>
        <v>6.5041952219304422E-2</v>
      </c>
      <c r="AW64" s="76"/>
      <c r="AX64" s="76"/>
      <c r="AY64" s="79"/>
      <c r="BH64" s="73" t="s">
        <v>291</v>
      </c>
      <c r="BI64" s="86">
        <v>302.05</v>
      </c>
      <c r="BJ64" s="77">
        <v>3.6900000000000002E-2</v>
      </c>
      <c r="BK64" s="88">
        <f t="shared" si="3"/>
        <v>8.5534591194968534E-2</v>
      </c>
      <c r="BL64" s="76"/>
      <c r="BM64" s="76"/>
      <c r="BN64" s="77"/>
    </row>
    <row r="65" spans="16:66" x14ac:dyDescent="0.2">
      <c r="P65" s="73" t="s">
        <v>292</v>
      </c>
      <c r="Q65" s="74">
        <v>4939.6499999999996</v>
      </c>
      <c r="R65" s="77">
        <v>1.4200000000000001E-2</v>
      </c>
      <c r="S65" s="75">
        <f t="shared" si="0"/>
        <v>2.2299716467642172E-2</v>
      </c>
      <c r="T65" s="75"/>
      <c r="U65" s="76"/>
      <c r="V65" s="77"/>
      <c r="AE65" s="73" t="s">
        <v>292</v>
      </c>
      <c r="AF65" s="87">
        <v>577.75</v>
      </c>
      <c r="AG65" s="79">
        <v>-0.1236</v>
      </c>
      <c r="AH65" s="88">
        <f t="shared" si="1"/>
        <v>-0.14445431660002961</v>
      </c>
      <c r="AI65" s="76"/>
      <c r="AJ65" s="76"/>
      <c r="AK65" s="79"/>
      <c r="AS65" s="73" t="s">
        <v>292</v>
      </c>
      <c r="AT65" s="87">
        <v>336.53</v>
      </c>
      <c r="AU65" s="79">
        <v>-6.0199999999999997E-2</v>
      </c>
      <c r="AV65" s="88">
        <f t="shared" si="2"/>
        <v>1.1907267642902175E-2</v>
      </c>
      <c r="AW65" s="76"/>
      <c r="AX65" s="76"/>
      <c r="AY65" s="79"/>
      <c r="BH65" s="73" t="s">
        <v>292</v>
      </c>
      <c r="BI65" s="87">
        <v>291.3</v>
      </c>
      <c r="BJ65" s="79">
        <v>-0.1258</v>
      </c>
      <c r="BK65" s="88">
        <f t="shared" si="3"/>
        <v>-3.5590134083760994E-2</v>
      </c>
      <c r="BL65" s="76"/>
      <c r="BM65" s="76"/>
      <c r="BN65" s="79"/>
    </row>
    <row r="66" spans="16:66" x14ac:dyDescent="0.2">
      <c r="P66" s="73" t="s">
        <v>293</v>
      </c>
      <c r="Q66" s="78">
        <v>4870.5</v>
      </c>
      <c r="R66" s="79">
        <v>-5.0500000000000003E-2</v>
      </c>
      <c r="S66" s="75">
        <f t="shared" si="0"/>
        <v>-1.3998967538185858E-2</v>
      </c>
      <c r="T66" s="75"/>
      <c r="U66" s="76"/>
      <c r="V66" s="79"/>
      <c r="AE66" s="73" t="s">
        <v>293</v>
      </c>
      <c r="AF66" s="87">
        <v>659.25</v>
      </c>
      <c r="AG66" s="79">
        <v>-4.5900000000000003E-2</v>
      </c>
      <c r="AH66" s="88">
        <f t="shared" si="1"/>
        <v>0.14106447425356983</v>
      </c>
      <c r="AI66" s="76"/>
      <c r="AJ66" s="76"/>
      <c r="AK66" s="79"/>
      <c r="AS66" s="73" t="s">
        <v>293</v>
      </c>
      <c r="AT66" s="87">
        <v>358.08</v>
      </c>
      <c r="AU66" s="79">
        <v>-2.5000000000000001E-2</v>
      </c>
      <c r="AV66" s="88">
        <f t="shared" si="2"/>
        <v>6.4035895759664951E-2</v>
      </c>
      <c r="AW66" s="76"/>
      <c r="AX66" s="76"/>
      <c r="AY66" s="79"/>
      <c r="BH66" s="73" t="s">
        <v>293</v>
      </c>
      <c r="BI66" s="87">
        <v>333.2</v>
      </c>
      <c r="BJ66" s="79">
        <v>-8.2000000000000007E-3</v>
      </c>
      <c r="BK66" s="88">
        <f t="shared" si="3"/>
        <v>0.14383796773086166</v>
      </c>
      <c r="BL66" s="76"/>
      <c r="BM66" s="76"/>
      <c r="BN66" s="79"/>
    </row>
    <row r="67" spans="16:66" x14ac:dyDescent="0.2">
      <c r="P67" s="73" t="s">
        <v>294</v>
      </c>
      <c r="Q67" s="74">
        <v>5129.6499999999996</v>
      </c>
      <c r="R67" s="77">
        <v>5.4999999999999997E-3</v>
      </c>
      <c r="S67" s="75">
        <f t="shared" si="0"/>
        <v>5.3208089518529844E-2</v>
      </c>
      <c r="T67" s="75"/>
      <c r="U67" s="76"/>
      <c r="V67" s="77"/>
      <c r="AE67" s="73" t="s">
        <v>294</v>
      </c>
      <c r="AF67" s="86">
        <v>691</v>
      </c>
      <c r="AG67" s="77">
        <v>5.1999999999999998E-3</v>
      </c>
      <c r="AH67" s="88">
        <f t="shared" si="1"/>
        <v>4.8160788775123198E-2</v>
      </c>
      <c r="AI67" s="76"/>
      <c r="AJ67" s="76"/>
      <c r="AK67" s="77"/>
      <c r="AS67" s="73" t="s">
        <v>294</v>
      </c>
      <c r="AT67" s="86">
        <v>367.27</v>
      </c>
      <c r="AU67" s="77">
        <v>2.23E-2</v>
      </c>
      <c r="AV67" s="88">
        <f t="shared" si="2"/>
        <v>2.5664655942805981E-2</v>
      </c>
      <c r="AW67" s="76"/>
      <c r="AX67" s="76"/>
      <c r="AY67" s="77"/>
      <c r="BH67" s="73" t="s">
        <v>294</v>
      </c>
      <c r="BI67" s="87">
        <v>335.95</v>
      </c>
      <c r="BJ67" s="79">
        <v>-3.4500000000000003E-2</v>
      </c>
      <c r="BK67" s="88">
        <f t="shared" si="3"/>
        <v>8.2533013205281502E-3</v>
      </c>
      <c r="BL67" s="76"/>
      <c r="BM67" s="76"/>
      <c r="BN67" s="79"/>
    </row>
    <row r="68" spans="16:66" x14ac:dyDescent="0.2">
      <c r="P68" s="73" t="s">
        <v>295</v>
      </c>
      <c r="Q68" s="74">
        <v>5101.55</v>
      </c>
      <c r="R68" s="77">
        <v>5.0900000000000001E-2</v>
      </c>
      <c r="S68" s="75">
        <f t="shared" si="0"/>
        <v>-5.4779565857319135E-3</v>
      </c>
      <c r="T68" s="75"/>
      <c r="U68" s="76"/>
      <c r="V68" s="77"/>
      <c r="AE68" s="73" t="s">
        <v>295</v>
      </c>
      <c r="AF68" s="87">
        <v>687.4</v>
      </c>
      <c r="AG68" s="79">
        <v>-1.9300000000000001E-2</v>
      </c>
      <c r="AH68" s="88">
        <f t="shared" si="1"/>
        <v>-5.2098408104197524E-3</v>
      </c>
      <c r="AI68" s="76"/>
      <c r="AJ68" s="76"/>
      <c r="AK68" s="79"/>
      <c r="AS68" s="73" t="s">
        <v>295</v>
      </c>
      <c r="AT68" s="87">
        <v>359.25</v>
      </c>
      <c r="AU68" s="79">
        <v>-4.2599999999999999E-2</v>
      </c>
      <c r="AV68" s="88">
        <f t="shared" si="2"/>
        <v>-2.1836795817790633E-2</v>
      </c>
      <c r="AW68" s="76"/>
      <c r="AX68" s="76"/>
      <c r="AY68" s="79"/>
      <c r="BH68" s="73" t="s">
        <v>295</v>
      </c>
      <c r="BI68" s="86">
        <v>347.95</v>
      </c>
      <c r="BJ68" s="77">
        <v>2.8799999999999999E-2</v>
      </c>
      <c r="BK68" s="88">
        <f t="shared" si="3"/>
        <v>3.5719601131120715E-2</v>
      </c>
      <c r="BL68" s="76"/>
      <c r="BM68" s="76"/>
      <c r="BN68" s="77"/>
    </row>
    <row r="69" spans="16:66" x14ac:dyDescent="0.2">
      <c r="P69" s="73" t="s">
        <v>296</v>
      </c>
      <c r="Q69" s="78">
        <v>4854.3999999999996</v>
      </c>
      <c r="R69" s="79">
        <v>-1.72E-2</v>
      </c>
      <c r="S69" s="75">
        <f t="shared" ref="S69:S106" si="4">Q69/Q68-1</f>
        <v>-4.8446060511021294E-2</v>
      </c>
      <c r="T69" s="75"/>
      <c r="U69" s="76"/>
      <c r="V69" s="79"/>
      <c r="AE69" s="73" t="s">
        <v>296</v>
      </c>
      <c r="AF69" s="87">
        <v>700.9</v>
      </c>
      <c r="AG69" s="79">
        <v>-7.6E-3</v>
      </c>
      <c r="AH69" s="88">
        <f t="shared" ref="AH69:AH106" si="5">AF69/AF68-1</f>
        <v>1.9639220250218248E-2</v>
      </c>
      <c r="AI69" s="76"/>
      <c r="AJ69" s="76"/>
      <c r="AK69" s="79"/>
      <c r="AS69" s="73" t="s">
        <v>296</v>
      </c>
      <c r="AT69" s="87">
        <v>375.22</v>
      </c>
      <c r="AU69" s="79">
        <v>-1.2500000000000001E-2</v>
      </c>
      <c r="AV69" s="88">
        <f t="shared" ref="AV69:AV106" si="6">AT69/AT68-1</f>
        <v>4.4453723034098891E-2</v>
      </c>
      <c r="AW69" s="76"/>
      <c r="AX69" s="76"/>
      <c r="AY69" s="79"/>
      <c r="BH69" s="73" t="s">
        <v>296</v>
      </c>
      <c r="BI69" s="87">
        <v>338.2</v>
      </c>
      <c r="BJ69" s="79">
        <v>-3.56E-2</v>
      </c>
      <c r="BK69" s="88">
        <f t="shared" ref="BK69:BK106" si="7">BI69/BI68-1</f>
        <v>-2.8021267423480434E-2</v>
      </c>
      <c r="BL69" s="76"/>
      <c r="BM69" s="76"/>
      <c r="BN69" s="79"/>
    </row>
    <row r="70" spans="16:66" x14ac:dyDescent="0.2">
      <c r="P70" s="73" t="s">
        <v>297</v>
      </c>
      <c r="Q70" s="74">
        <v>4939.2</v>
      </c>
      <c r="R70" s="77">
        <v>2.1700000000000001E-2</v>
      </c>
      <c r="S70" s="75">
        <f t="shared" si="4"/>
        <v>1.7468688200395599E-2</v>
      </c>
      <c r="T70" s="75"/>
      <c r="U70" s="76"/>
      <c r="V70" s="77"/>
      <c r="AE70" s="73" t="s">
        <v>297</v>
      </c>
      <c r="AF70" s="87">
        <v>706.25</v>
      </c>
      <c r="AG70" s="79">
        <v>-5.6300000000000003E-2</v>
      </c>
      <c r="AH70" s="88">
        <f t="shared" si="5"/>
        <v>7.6330432301328077E-3</v>
      </c>
      <c r="AI70" s="76"/>
      <c r="AJ70" s="76"/>
      <c r="AK70" s="79"/>
      <c r="AS70" s="73" t="s">
        <v>297</v>
      </c>
      <c r="AT70" s="87">
        <v>379.96</v>
      </c>
      <c r="AU70" s="79">
        <v>-4.1300000000000003E-2</v>
      </c>
      <c r="AV70" s="88">
        <f t="shared" si="6"/>
        <v>1.2632588881189566E-2</v>
      </c>
      <c r="AW70" s="76"/>
      <c r="AX70" s="76"/>
      <c r="AY70" s="79"/>
      <c r="BH70" s="73" t="s">
        <v>297</v>
      </c>
      <c r="BI70" s="87">
        <v>350.7</v>
      </c>
      <c r="BJ70" s="79">
        <v>-5.6599999999999998E-2</v>
      </c>
      <c r="BK70" s="88">
        <f t="shared" si="7"/>
        <v>3.6960378474275579E-2</v>
      </c>
      <c r="BL70" s="76"/>
      <c r="BM70" s="76"/>
      <c r="BN70" s="79"/>
    </row>
    <row r="71" spans="16:66" x14ac:dyDescent="0.2">
      <c r="P71" s="73" t="s">
        <v>298</v>
      </c>
      <c r="Q71" s="74">
        <v>4834.1000000000004</v>
      </c>
      <c r="R71" s="77">
        <v>1.3599999999999999E-2</v>
      </c>
      <c r="S71" s="75">
        <f t="shared" si="4"/>
        <v>-2.127874959507603E-2</v>
      </c>
      <c r="T71" s="75"/>
      <c r="U71" s="76"/>
      <c r="V71" s="77"/>
      <c r="AE71" s="73" t="s">
        <v>298</v>
      </c>
      <c r="AF71" s="87">
        <v>748.35</v>
      </c>
      <c r="AG71" s="79">
        <v>-2.07E-2</v>
      </c>
      <c r="AH71" s="88">
        <f t="shared" si="5"/>
        <v>5.9610619469026682E-2</v>
      </c>
      <c r="AI71" s="76"/>
      <c r="AJ71" s="76"/>
      <c r="AK71" s="79"/>
      <c r="AS71" s="73" t="s">
        <v>298</v>
      </c>
      <c r="AT71" s="86">
        <v>396.33</v>
      </c>
      <c r="AU71" s="77">
        <v>4.3799999999999999E-2</v>
      </c>
      <c r="AV71" s="88">
        <f t="shared" si="6"/>
        <v>4.308348247183913E-2</v>
      </c>
      <c r="AW71" s="76"/>
      <c r="AX71" s="76"/>
      <c r="AY71" s="77"/>
      <c r="BH71" s="73" t="s">
        <v>298</v>
      </c>
      <c r="BI71" s="87">
        <v>371.75</v>
      </c>
      <c r="BJ71" s="79">
        <v>-1.67E-2</v>
      </c>
      <c r="BK71" s="88">
        <f t="shared" si="7"/>
        <v>6.0022811519817587E-2</v>
      </c>
      <c r="BL71" s="76"/>
      <c r="BM71" s="76"/>
      <c r="BN71" s="79"/>
    </row>
    <row r="72" spans="16:66" x14ac:dyDescent="0.2">
      <c r="P72" s="73" t="s">
        <v>299</v>
      </c>
      <c r="Q72" s="74">
        <v>4769.3</v>
      </c>
      <c r="R72" s="77">
        <v>1.52E-2</v>
      </c>
      <c r="S72" s="75">
        <f t="shared" si="4"/>
        <v>-1.3404770277818057E-2</v>
      </c>
      <c r="T72" s="75"/>
      <c r="U72" s="76"/>
      <c r="V72" s="77"/>
      <c r="AE72" s="73" t="s">
        <v>299</v>
      </c>
      <c r="AF72" s="87">
        <v>764.2</v>
      </c>
      <c r="AG72" s="79">
        <v>-7.7000000000000002E-3</v>
      </c>
      <c r="AH72" s="88">
        <f t="shared" si="5"/>
        <v>2.1179929177523871E-2</v>
      </c>
      <c r="AI72" s="76"/>
      <c r="AJ72" s="76"/>
      <c r="AK72" s="79"/>
      <c r="AS72" s="73" t="s">
        <v>299</v>
      </c>
      <c r="AT72" s="87">
        <v>379.71</v>
      </c>
      <c r="AU72" s="79">
        <v>-6.7000000000000002E-3</v>
      </c>
      <c r="AV72" s="88">
        <f t="shared" si="6"/>
        <v>-4.1934751343577381E-2</v>
      </c>
      <c r="AW72" s="76"/>
      <c r="AX72" s="76"/>
      <c r="AY72" s="79"/>
      <c r="BH72" s="73" t="s">
        <v>299</v>
      </c>
      <c r="BI72" s="87">
        <v>378.05</v>
      </c>
      <c r="BJ72" s="79">
        <v>-5.0799999999999998E-2</v>
      </c>
      <c r="BK72" s="88">
        <f t="shared" si="7"/>
        <v>1.6946872898453202E-2</v>
      </c>
      <c r="BL72" s="76"/>
      <c r="BM72" s="76"/>
      <c r="BN72" s="79"/>
    </row>
    <row r="73" spans="16:66" x14ac:dyDescent="0.2">
      <c r="P73" s="73" t="s">
        <v>300</v>
      </c>
      <c r="Q73" s="78">
        <v>4698.1000000000004</v>
      </c>
      <c r="R73" s="79">
        <v>-3.1300000000000001E-2</v>
      </c>
      <c r="S73" s="75">
        <f t="shared" si="4"/>
        <v>-1.4928815549451691E-2</v>
      </c>
      <c r="T73" s="75"/>
      <c r="U73" s="76"/>
      <c r="V73" s="79"/>
      <c r="AE73" s="73" t="s">
        <v>300</v>
      </c>
      <c r="AF73" s="87">
        <v>770.15</v>
      </c>
      <c r="AG73" s="79">
        <v>-3.6499999999999998E-2</v>
      </c>
      <c r="AH73" s="88">
        <f t="shared" si="5"/>
        <v>7.7859199162522152E-3</v>
      </c>
      <c r="AI73" s="76"/>
      <c r="AJ73" s="76"/>
      <c r="AK73" s="79"/>
      <c r="AS73" s="73" t="s">
        <v>300</v>
      </c>
      <c r="AT73" s="87">
        <v>382.27</v>
      </c>
      <c r="AU73" s="79">
        <v>-0.05</v>
      </c>
      <c r="AV73" s="88">
        <f t="shared" si="6"/>
        <v>6.741987306102093E-3</v>
      </c>
      <c r="AW73" s="76"/>
      <c r="AX73" s="76"/>
      <c r="AY73" s="79"/>
      <c r="BH73" s="73" t="s">
        <v>300</v>
      </c>
      <c r="BI73" s="87">
        <v>398.3</v>
      </c>
      <c r="BJ73" s="79">
        <v>-3.7499999999999999E-2</v>
      </c>
      <c r="BK73" s="88">
        <f t="shared" si="7"/>
        <v>5.3564343340827936E-2</v>
      </c>
      <c r="BL73" s="76"/>
      <c r="BM73" s="76"/>
      <c r="BN73" s="79"/>
    </row>
    <row r="74" spans="16:66" x14ac:dyDescent="0.2">
      <c r="P74" s="73" t="s">
        <v>301</v>
      </c>
      <c r="Q74" s="78">
        <v>4850.1000000000004</v>
      </c>
      <c r="R74" s="79">
        <v>-4.3E-3</v>
      </c>
      <c r="S74" s="75">
        <f t="shared" si="4"/>
        <v>3.2353504608245931E-2</v>
      </c>
      <c r="T74" s="75"/>
      <c r="U74" s="76"/>
      <c r="V74" s="79"/>
      <c r="AE74" s="73" t="s">
        <v>301</v>
      </c>
      <c r="AF74" s="87">
        <v>799.35</v>
      </c>
      <c r="AG74" s="79">
        <v>-2.58E-2</v>
      </c>
      <c r="AH74" s="88">
        <f t="shared" si="5"/>
        <v>3.7914691943128132E-2</v>
      </c>
      <c r="AI74" s="76"/>
      <c r="AJ74" s="76"/>
      <c r="AK74" s="79"/>
      <c r="AS74" s="73" t="s">
        <v>301</v>
      </c>
      <c r="AT74" s="87">
        <v>402.39</v>
      </c>
      <c r="AU74" s="79">
        <v>-1.7600000000000001E-2</v>
      </c>
      <c r="AV74" s="88">
        <f t="shared" si="6"/>
        <v>5.2632955764250422E-2</v>
      </c>
      <c r="AW74" s="76"/>
      <c r="AX74" s="76"/>
      <c r="AY74" s="79"/>
      <c r="BH74" s="73" t="s">
        <v>301</v>
      </c>
      <c r="BI74" s="87">
        <v>413.8</v>
      </c>
      <c r="BJ74" s="79">
        <v>-0.1041</v>
      </c>
      <c r="BK74" s="88">
        <f t="shared" si="7"/>
        <v>3.8915390409239192E-2</v>
      </c>
      <c r="BL74" s="76"/>
      <c r="BM74" s="76"/>
      <c r="BN74" s="79"/>
    </row>
    <row r="75" spans="16:66" x14ac:dyDescent="0.2">
      <c r="P75" s="73" t="s">
        <v>302</v>
      </c>
      <c r="Q75" s="78">
        <v>4870.8500000000004</v>
      </c>
      <c r="R75" s="79">
        <v>-1.4200000000000001E-2</v>
      </c>
      <c r="S75" s="75">
        <f t="shared" si="4"/>
        <v>4.2782623038699619E-3</v>
      </c>
      <c r="T75" s="75"/>
      <c r="U75" s="76"/>
      <c r="V75" s="79"/>
      <c r="AE75" s="73" t="s">
        <v>302</v>
      </c>
      <c r="AF75" s="86">
        <v>820.5</v>
      </c>
      <c r="AG75" s="77">
        <v>2.2200000000000001E-2</v>
      </c>
      <c r="AH75" s="88">
        <f t="shared" si="5"/>
        <v>2.6458997935822737E-2</v>
      </c>
      <c r="AI75" s="76"/>
      <c r="AJ75" s="76"/>
      <c r="AK75" s="77"/>
      <c r="AS75" s="73" t="s">
        <v>302</v>
      </c>
      <c r="AT75" s="86">
        <v>409.58</v>
      </c>
      <c r="AU75" s="77">
        <v>1.1299999999999999E-2</v>
      </c>
      <c r="AV75" s="88">
        <f t="shared" si="6"/>
        <v>1.7868237282238519E-2</v>
      </c>
      <c r="AW75" s="76"/>
      <c r="AX75" s="76"/>
      <c r="AY75" s="77"/>
      <c r="BH75" s="73" t="s">
        <v>302</v>
      </c>
      <c r="BI75" s="86">
        <v>461.9</v>
      </c>
      <c r="BJ75" s="77">
        <v>4.4499999999999998E-2</v>
      </c>
      <c r="BK75" s="88">
        <f t="shared" si="7"/>
        <v>0.11623972933784432</v>
      </c>
      <c r="BL75" s="76"/>
      <c r="BM75" s="76"/>
      <c r="BN75" s="77"/>
    </row>
    <row r="76" spans="16:66" x14ac:dyDescent="0.2">
      <c r="P76" s="73" t="s">
        <v>303</v>
      </c>
      <c r="Q76" s="74">
        <v>4941.1499999999996</v>
      </c>
      <c r="R76" s="77">
        <v>1.9099999999999999E-2</v>
      </c>
      <c r="S76" s="75">
        <f t="shared" si="4"/>
        <v>1.4432799203424329E-2</v>
      </c>
      <c r="T76" s="75"/>
      <c r="U76" s="76"/>
      <c r="V76" s="77"/>
      <c r="AE76" s="73" t="s">
        <v>303</v>
      </c>
      <c r="AF76" s="86">
        <v>802.7</v>
      </c>
      <c r="AG76" s="77">
        <v>9.3200000000000005E-2</v>
      </c>
      <c r="AH76" s="88">
        <f t="shared" si="5"/>
        <v>-2.1694088970140135E-2</v>
      </c>
      <c r="AI76" s="76"/>
      <c r="AJ76" s="76"/>
      <c r="AK76" s="77"/>
      <c r="AS76" s="73" t="s">
        <v>303</v>
      </c>
      <c r="AT76" s="86">
        <v>404.99</v>
      </c>
      <c r="AU76" s="77">
        <v>5.67E-2</v>
      </c>
      <c r="AV76" s="88">
        <f t="shared" si="6"/>
        <v>-1.1206601884857559E-2</v>
      </c>
      <c r="AW76" s="76"/>
      <c r="AX76" s="76"/>
      <c r="AY76" s="77"/>
      <c r="BH76" s="73" t="s">
        <v>303</v>
      </c>
      <c r="BI76" s="86">
        <v>442.2</v>
      </c>
      <c r="BJ76" s="77">
        <v>8.6999999999999994E-3</v>
      </c>
      <c r="BK76" s="88">
        <f t="shared" si="7"/>
        <v>-4.2649924226022873E-2</v>
      </c>
      <c r="BL76" s="76"/>
      <c r="BM76" s="76"/>
      <c r="BN76" s="77"/>
    </row>
    <row r="77" spans="16:66" x14ac:dyDescent="0.2">
      <c r="P77" s="73" t="s">
        <v>304</v>
      </c>
      <c r="Q77" s="78">
        <v>4848.3500000000004</v>
      </c>
      <c r="R77" s="79">
        <v>-1.37E-2</v>
      </c>
      <c r="S77" s="75">
        <f t="shared" si="4"/>
        <v>-1.8781052993736114E-2</v>
      </c>
      <c r="T77" s="75"/>
      <c r="U77" s="76"/>
      <c r="V77" s="79"/>
      <c r="AE77" s="73" t="s">
        <v>304</v>
      </c>
      <c r="AF77" s="87">
        <v>734.25</v>
      </c>
      <c r="AG77" s="79">
        <v>-6.6600000000000006E-2</v>
      </c>
      <c r="AH77" s="88">
        <f t="shared" si="5"/>
        <v>-8.5274697894605733E-2</v>
      </c>
      <c r="AI77" s="76"/>
      <c r="AJ77" s="76"/>
      <c r="AK77" s="79"/>
      <c r="AS77" s="73" t="s">
        <v>304</v>
      </c>
      <c r="AT77" s="87">
        <v>383.27</v>
      </c>
      <c r="AU77" s="79">
        <v>-2.2599999999999999E-2</v>
      </c>
      <c r="AV77" s="88">
        <f t="shared" si="6"/>
        <v>-5.3630953850712482E-2</v>
      </c>
      <c r="AW77" s="76"/>
      <c r="AX77" s="76"/>
      <c r="AY77" s="79"/>
      <c r="BH77" s="73" t="s">
        <v>304</v>
      </c>
      <c r="BI77" s="87">
        <v>438.4</v>
      </c>
      <c r="BJ77" s="79">
        <v>-5.0200000000000002E-2</v>
      </c>
      <c r="BK77" s="88">
        <f t="shared" si="7"/>
        <v>-8.5933966530982175E-3</v>
      </c>
      <c r="BL77" s="76"/>
      <c r="BM77" s="76"/>
      <c r="BN77" s="79"/>
    </row>
    <row r="78" spans="16:66" x14ac:dyDescent="0.2">
      <c r="P78" s="73" t="s">
        <v>305</v>
      </c>
      <c r="Q78" s="78">
        <v>4915.6000000000004</v>
      </c>
      <c r="R78" s="79">
        <v>-0.1447</v>
      </c>
      <c r="S78" s="75">
        <f t="shared" si="4"/>
        <v>1.3870698278795945E-2</v>
      </c>
      <c r="T78" s="75"/>
      <c r="U78" s="76"/>
      <c r="V78" s="79"/>
      <c r="AE78" s="73" t="s">
        <v>305</v>
      </c>
      <c r="AF78" s="87">
        <v>786.6</v>
      </c>
      <c r="AG78" s="79">
        <v>-8.8300000000000003E-2</v>
      </c>
      <c r="AH78" s="88">
        <f t="shared" si="5"/>
        <v>7.1297242083758983E-2</v>
      </c>
      <c r="AI78" s="76"/>
      <c r="AJ78" s="76"/>
      <c r="AK78" s="79"/>
      <c r="AS78" s="73" t="s">
        <v>305</v>
      </c>
      <c r="AT78" s="86">
        <v>392.12</v>
      </c>
      <c r="AU78" s="77">
        <v>2.7000000000000001E-3</v>
      </c>
      <c r="AV78" s="88">
        <f t="shared" si="6"/>
        <v>2.3090771518772701E-2</v>
      </c>
      <c r="AW78" s="76"/>
      <c r="AX78" s="76"/>
      <c r="AY78" s="77"/>
      <c r="BH78" s="73" t="s">
        <v>305</v>
      </c>
      <c r="BI78" s="87">
        <v>461.55</v>
      </c>
      <c r="BJ78" s="79">
        <v>-6.8699999999999997E-2</v>
      </c>
      <c r="BK78" s="88">
        <f t="shared" si="7"/>
        <v>5.2805656934306722E-2</v>
      </c>
      <c r="BL78" s="76"/>
      <c r="BM78" s="76"/>
      <c r="BN78" s="79"/>
    </row>
    <row r="79" spans="16:66" x14ac:dyDescent="0.2">
      <c r="P79" s="73" t="s">
        <v>306</v>
      </c>
      <c r="Q79" s="74">
        <v>5747.15</v>
      </c>
      <c r="R79" s="77">
        <v>9.4999999999999998E-3</v>
      </c>
      <c r="S79" s="75">
        <f t="shared" si="4"/>
        <v>0.16916551387419632</v>
      </c>
      <c r="T79" s="75"/>
      <c r="U79" s="76"/>
      <c r="V79" s="77"/>
      <c r="AE79" s="73" t="s">
        <v>306</v>
      </c>
      <c r="AF79" s="86">
        <v>862.75</v>
      </c>
      <c r="AG79" s="77">
        <v>6.7000000000000002E-3</v>
      </c>
      <c r="AH79" s="88">
        <f t="shared" si="5"/>
        <v>9.6809051614543673E-2</v>
      </c>
      <c r="AI79" s="76"/>
      <c r="AJ79" s="76"/>
      <c r="AK79" s="77"/>
      <c r="AS79" s="73" t="s">
        <v>306</v>
      </c>
      <c r="AT79" s="86">
        <v>391.05</v>
      </c>
      <c r="AU79" s="77">
        <v>3.2000000000000002E-3</v>
      </c>
      <c r="AV79" s="88">
        <f t="shared" si="6"/>
        <v>-2.7287565031113292E-3</v>
      </c>
      <c r="AW79" s="76"/>
      <c r="AX79" s="76"/>
      <c r="AY79" s="77"/>
      <c r="BH79" s="73" t="s">
        <v>306</v>
      </c>
      <c r="BI79" s="86">
        <v>495.6</v>
      </c>
      <c r="BJ79" s="77">
        <v>1.6299999999999999E-2</v>
      </c>
      <c r="BK79" s="88">
        <f t="shared" si="7"/>
        <v>7.3773155671108315E-2</v>
      </c>
      <c r="BL79" s="76"/>
      <c r="BM79" s="76"/>
      <c r="BN79" s="77"/>
    </row>
    <row r="80" spans="16:66" x14ac:dyDescent="0.2">
      <c r="P80" s="73" t="s">
        <v>307</v>
      </c>
      <c r="Q80" s="74">
        <v>5693.05</v>
      </c>
      <c r="R80" s="77">
        <v>4.1999999999999997E-3</v>
      </c>
      <c r="S80" s="75">
        <f t="shared" si="4"/>
        <v>-9.4133614052180903E-3</v>
      </c>
      <c r="T80" s="75"/>
      <c r="U80" s="76"/>
      <c r="V80" s="77"/>
      <c r="AE80" s="73" t="s">
        <v>307</v>
      </c>
      <c r="AF80" s="87">
        <v>857</v>
      </c>
      <c r="AG80" s="79">
        <v>-1.06E-2</v>
      </c>
      <c r="AH80" s="88">
        <f t="shared" si="5"/>
        <v>-6.6647348594610634E-3</v>
      </c>
      <c r="AI80" s="76"/>
      <c r="AJ80" s="76"/>
      <c r="AK80" s="79"/>
      <c r="AS80" s="73" t="s">
        <v>307</v>
      </c>
      <c r="AT80" s="86">
        <v>389.82</v>
      </c>
      <c r="AU80" s="77">
        <v>8.3299999999999999E-2</v>
      </c>
      <c r="AV80" s="88">
        <f t="shared" si="6"/>
        <v>-3.1453778289222134E-3</v>
      </c>
      <c r="AW80" s="76"/>
      <c r="AX80" s="76"/>
      <c r="AY80" s="77"/>
      <c r="BH80" s="73" t="s">
        <v>307</v>
      </c>
      <c r="BI80" s="86">
        <v>487.65</v>
      </c>
      <c r="BJ80" s="77">
        <v>8.4900000000000003E-2</v>
      </c>
      <c r="BK80" s="88">
        <f t="shared" si="7"/>
        <v>-1.604116222760299E-2</v>
      </c>
      <c r="BL80" s="76"/>
      <c r="BM80" s="76"/>
      <c r="BN80" s="77"/>
    </row>
    <row r="81" spans="16:66" x14ac:dyDescent="0.2">
      <c r="P81" s="73" t="s">
        <v>308</v>
      </c>
      <c r="Q81" s="78">
        <v>5669.4</v>
      </c>
      <c r="R81" s="79">
        <v>-3.6999999999999998E-2</v>
      </c>
      <c r="S81" s="75">
        <f t="shared" si="4"/>
        <v>-4.154188001159409E-3</v>
      </c>
      <c r="T81" s="75"/>
      <c r="U81" s="76"/>
      <c r="V81" s="79"/>
      <c r="AE81" s="73" t="s">
        <v>308</v>
      </c>
      <c r="AF81" s="87">
        <v>866.15</v>
      </c>
      <c r="AG81" s="79">
        <v>-4.8899999999999999E-2</v>
      </c>
      <c r="AH81" s="88">
        <f t="shared" si="5"/>
        <v>1.0676779463243857E-2</v>
      </c>
      <c r="AI81" s="76"/>
      <c r="AJ81" s="76"/>
      <c r="AK81" s="79"/>
      <c r="AS81" s="73" t="s">
        <v>308</v>
      </c>
      <c r="AT81" s="87">
        <v>359.83</v>
      </c>
      <c r="AU81" s="79">
        <v>-8.2799999999999999E-2</v>
      </c>
      <c r="AV81" s="88">
        <f t="shared" si="6"/>
        <v>-7.6932943409778853E-2</v>
      </c>
      <c r="AW81" s="76"/>
      <c r="AX81" s="76"/>
      <c r="AY81" s="79"/>
      <c r="BH81" s="73" t="s">
        <v>308</v>
      </c>
      <c r="BI81" s="87">
        <v>449.5</v>
      </c>
      <c r="BJ81" s="79">
        <v>-4.87E-2</v>
      </c>
      <c r="BK81" s="88">
        <f t="shared" si="7"/>
        <v>-7.823233876755864E-2</v>
      </c>
      <c r="BL81" s="76"/>
      <c r="BM81" s="76"/>
      <c r="BN81" s="79"/>
    </row>
    <row r="82" spans="16:66" x14ac:dyDescent="0.2">
      <c r="P82" s="73" t="s">
        <v>309</v>
      </c>
      <c r="Q82" s="78">
        <v>5887.2</v>
      </c>
      <c r="R82" s="79">
        <v>-1.5299999999999999E-2</v>
      </c>
      <c r="S82" s="75">
        <f t="shared" si="4"/>
        <v>3.8416763678696286E-2</v>
      </c>
      <c r="T82" s="75"/>
      <c r="U82" s="76"/>
      <c r="V82" s="79"/>
      <c r="AE82" s="73" t="s">
        <v>309</v>
      </c>
      <c r="AF82" s="86">
        <v>910.65</v>
      </c>
      <c r="AG82" s="77">
        <v>8.1900000000000001E-2</v>
      </c>
      <c r="AH82" s="88">
        <f t="shared" si="5"/>
        <v>5.1376782312532399E-2</v>
      </c>
      <c r="AI82" s="76"/>
      <c r="AJ82" s="76"/>
      <c r="AK82" s="77"/>
      <c r="AS82" s="73" t="s">
        <v>309</v>
      </c>
      <c r="AT82" s="86">
        <v>392.3</v>
      </c>
      <c r="AU82" s="77">
        <v>2.7000000000000001E-3</v>
      </c>
      <c r="AV82" s="88">
        <f t="shared" si="6"/>
        <v>9.0237056387738823E-2</v>
      </c>
      <c r="AW82" s="76"/>
      <c r="AX82" s="76"/>
      <c r="AY82" s="77"/>
      <c r="BH82" s="73" t="s">
        <v>309</v>
      </c>
      <c r="BI82" s="86">
        <v>472.5</v>
      </c>
      <c r="BJ82" s="77">
        <v>0.11459999999999999</v>
      </c>
      <c r="BK82" s="88">
        <f t="shared" si="7"/>
        <v>5.116796440489435E-2</v>
      </c>
      <c r="BL82" s="76"/>
      <c r="BM82" s="76"/>
      <c r="BN82" s="77"/>
    </row>
    <row r="83" spans="16:66" x14ac:dyDescent="0.2">
      <c r="P83" s="73" t="s">
        <v>310</v>
      </c>
      <c r="Q83" s="78">
        <v>5978.5</v>
      </c>
      <c r="R83" s="79">
        <v>-3.6700000000000003E-2</v>
      </c>
      <c r="S83" s="75">
        <f t="shared" si="4"/>
        <v>1.550822122571005E-2</v>
      </c>
      <c r="T83" s="75"/>
      <c r="U83" s="76"/>
      <c r="V83" s="79"/>
      <c r="AE83" s="73" t="s">
        <v>310</v>
      </c>
      <c r="AF83" s="87">
        <v>841.75</v>
      </c>
      <c r="AG83" s="79">
        <v>-6.5799999999999997E-2</v>
      </c>
      <c r="AH83" s="88">
        <f t="shared" si="5"/>
        <v>-7.566024268379723E-2</v>
      </c>
      <c r="AI83" s="76"/>
      <c r="AJ83" s="76"/>
      <c r="AK83" s="79"/>
      <c r="AS83" s="73" t="s">
        <v>310</v>
      </c>
      <c r="AT83" s="86">
        <v>391.25</v>
      </c>
      <c r="AU83" s="77">
        <v>3.8E-3</v>
      </c>
      <c r="AV83" s="88">
        <f t="shared" si="6"/>
        <v>-2.6765230690798392E-3</v>
      </c>
      <c r="AW83" s="76"/>
      <c r="AX83" s="76"/>
      <c r="AY83" s="77"/>
      <c r="BH83" s="73" t="s">
        <v>310</v>
      </c>
      <c r="BI83" s="86">
        <v>423.9</v>
      </c>
      <c r="BJ83" s="77">
        <v>6.4299999999999996E-2</v>
      </c>
      <c r="BK83" s="88">
        <f t="shared" si="7"/>
        <v>-0.10285714285714287</v>
      </c>
      <c r="BL83" s="76"/>
      <c r="BM83" s="76"/>
      <c r="BN83" s="77"/>
    </row>
    <row r="84" spans="16:66" x14ac:dyDescent="0.2">
      <c r="P84" s="73" t="s">
        <v>311</v>
      </c>
      <c r="Q84" s="78">
        <v>6206</v>
      </c>
      <c r="R84" s="79">
        <v>-0.01</v>
      </c>
      <c r="S84" s="75">
        <f t="shared" si="4"/>
        <v>3.8053023333612046E-2</v>
      </c>
      <c r="T84" s="75"/>
      <c r="U84" s="76"/>
      <c r="V84" s="79"/>
      <c r="AE84" s="73" t="s">
        <v>311</v>
      </c>
      <c r="AF84" s="87">
        <v>901</v>
      </c>
      <c r="AG84" s="79">
        <v>-6.0499999999999998E-2</v>
      </c>
      <c r="AH84" s="88">
        <f t="shared" si="5"/>
        <v>7.0389070389070385E-2</v>
      </c>
      <c r="AI84" s="76"/>
      <c r="AJ84" s="76"/>
      <c r="AK84" s="79"/>
      <c r="AS84" s="73" t="s">
        <v>311</v>
      </c>
      <c r="AT84" s="87">
        <v>389.77</v>
      </c>
      <c r="AU84" s="79">
        <v>-3.1899999999999998E-2</v>
      </c>
      <c r="AV84" s="88">
        <f t="shared" si="6"/>
        <v>-3.7827476038339025E-3</v>
      </c>
      <c r="AW84" s="76"/>
      <c r="AX84" s="76"/>
      <c r="AY84" s="79"/>
      <c r="BH84" s="73" t="s">
        <v>311</v>
      </c>
      <c r="BI84" s="87">
        <v>398.3</v>
      </c>
      <c r="BJ84" s="79">
        <v>-5.28E-2</v>
      </c>
      <c r="BK84" s="88">
        <f t="shared" si="7"/>
        <v>-6.0391601792875615E-2</v>
      </c>
      <c r="BL84" s="76"/>
      <c r="BM84" s="76"/>
      <c r="BN84" s="79"/>
    </row>
    <row r="85" spans="16:66" x14ac:dyDescent="0.2">
      <c r="P85" s="73" t="s">
        <v>312</v>
      </c>
      <c r="Q85" s="74">
        <v>6268.8</v>
      </c>
      <c r="R85" s="77">
        <v>9.4000000000000004E-3</v>
      </c>
      <c r="S85" s="75">
        <f t="shared" si="4"/>
        <v>1.0119239445697703E-2</v>
      </c>
      <c r="T85" s="75"/>
      <c r="U85" s="76"/>
      <c r="V85" s="77"/>
      <c r="AE85" s="73" t="s">
        <v>312</v>
      </c>
      <c r="AF85" s="86">
        <v>959.05</v>
      </c>
      <c r="AG85" s="77">
        <v>6.1000000000000004E-3</v>
      </c>
      <c r="AH85" s="88">
        <f t="shared" si="5"/>
        <v>6.4428412874583785E-2</v>
      </c>
      <c r="AI85" s="76"/>
      <c r="AJ85" s="76"/>
      <c r="AK85" s="77"/>
      <c r="AS85" s="73" t="s">
        <v>312</v>
      </c>
      <c r="AT85" s="87">
        <v>402.6</v>
      </c>
      <c r="AU85" s="79">
        <v>-3.2500000000000001E-2</v>
      </c>
      <c r="AV85" s="88">
        <f t="shared" si="6"/>
        <v>3.2916848397773091E-2</v>
      </c>
      <c r="AW85" s="76"/>
      <c r="AX85" s="76"/>
      <c r="AY85" s="79"/>
      <c r="BH85" s="73" t="s">
        <v>312</v>
      </c>
      <c r="BI85" s="86">
        <v>420.5</v>
      </c>
      <c r="BJ85" s="77">
        <v>0.1018</v>
      </c>
      <c r="BK85" s="88">
        <f t="shared" si="7"/>
        <v>5.5736881747426636E-2</v>
      </c>
      <c r="BL85" s="76"/>
      <c r="BM85" s="76"/>
      <c r="BN85" s="77"/>
    </row>
    <row r="86" spans="16:66" x14ac:dyDescent="0.2">
      <c r="P86" s="73" t="s">
        <v>313</v>
      </c>
      <c r="Q86" s="74">
        <v>6210.55</v>
      </c>
      <c r="R86" s="77">
        <v>1.26E-2</v>
      </c>
      <c r="S86" s="75">
        <f t="shared" si="4"/>
        <v>-9.2920495150586868E-3</v>
      </c>
      <c r="T86" s="75"/>
      <c r="U86" s="76"/>
      <c r="V86" s="77"/>
      <c r="AE86" s="73" t="s">
        <v>313</v>
      </c>
      <c r="AF86" s="86">
        <v>953.25</v>
      </c>
      <c r="AG86" s="77">
        <v>8.5900000000000004E-2</v>
      </c>
      <c r="AH86" s="88">
        <f t="shared" si="5"/>
        <v>-6.0476513216203287E-3</v>
      </c>
      <c r="AI86" s="76"/>
      <c r="AJ86" s="76"/>
      <c r="AK86" s="77"/>
      <c r="AS86" s="73" t="s">
        <v>313</v>
      </c>
      <c r="AT86" s="87">
        <v>416.13</v>
      </c>
      <c r="AU86" s="79">
        <v>-5.79E-2</v>
      </c>
      <c r="AV86" s="88">
        <f t="shared" si="6"/>
        <v>3.3606557377049207E-2</v>
      </c>
      <c r="AW86" s="76"/>
      <c r="AX86" s="76"/>
      <c r="AY86" s="79"/>
      <c r="BH86" s="73" t="s">
        <v>313</v>
      </c>
      <c r="BI86" s="86">
        <v>381.65</v>
      </c>
      <c r="BJ86" s="77">
        <v>0.12089999999999999</v>
      </c>
      <c r="BK86" s="88">
        <f t="shared" si="7"/>
        <v>-9.2390011890606472E-2</v>
      </c>
      <c r="BL86" s="76"/>
      <c r="BM86" s="76"/>
      <c r="BN86" s="77"/>
    </row>
    <row r="87" spans="16:66" x14ac:dyDescent="0.2">
      <c r="P87" s="73" t="s">
        <v>314</v>
      </c>
      <c r="Q87" s="74">
        <v>6133.1</v>
      </c>
      <c r="R87" s="77">
        <v>4.9599999999999998E-2</v>
      </c>
      <c r="S87" s="75">
        <f t="shared" si="4"/>
        <v>-1.2470715154052403E-2</v>
      </c>
      <c r="T87" s="75"/>
      <c r="U87" s="76"/>
      <c r="V87" s="77"/>
      <c r="AE87" s="73" t="s">
        <v>314</v>
      </c>
      <c r="AF87" s="86">
        <v>877.85</v>
      </c>
      <c r="AG87" s="77">
        <v>1.9199999999999998E-2</v>
      </c>
      <c r="AH87" s="88">
        <f t="shared" si="5"/>
        <v>-7.9097823236296882E-2</v>
      </c>
      <c r="AI87" s="76"/>
      <c r="AJ87" s="76"/>
      <c r="AK87" s="77"/>
      <c r="AS87" s="73" t="s">
        <v>314</v>
      </c>
      <c r="AT87" s="87">
        <v>441.71</v>
      </c>
      <c r="AU87" s="79">
        <v>-2.01E-2</v>
      </c>
      <c r="AV87" s="88">
        <f t="shared" si="6"/>
        <v>6.1471174873236611E-2</v>
      </c>
      <c r="AW87" s="76"/>
      <c r="AX87" s="76"/>
      <c r="AY87" s="79"/>
      <c r="BH87" s="73" t="s">
        <v>314</v>
      </c>
      <c r="BI87" s="86">
        <v>340.5</v>
      </c>
      <c r="BJ87" s="77">
        <v>3.1699999999999999E-2</v>
      </c>
      <c r="BK87" s="88">
        <f t="shared" si="7"/>
        <v>-0.10782130224027242</v>
      </c>
      <c r="BL87" s="76"/>
      <c r="BM87" s="76"/>
      <c r="BN87" s="77"/>
    </row>
    <row r="88" spans="16:66" x14ac:dyDescent="0.2">
      <c r="P88" s="73" t="s">
        <v>315</v>
      </c>
      <c r="Q88" s="78">
        <v>5843.55</v>
      </c>
      <c r="R88" s="79">
        <v>-2E-3</v>
      </c>
      <c r="S88" s="75">
        <f t="shared" si="4"/>
        <v>-4.7211035202426199E-2</v>
      </c>
      <c r="T88" s="75"/>
      <c r="U88" s="76"/>
      <c r="V88" s="79"/>
      <c r="AE88" s="73" t="s">
        <v>315</v>
      </c>
      <c r="AF88" s="86">
        <v>861.3</v>
      </c>
      <c r="AG88" s="77">
        <v>4.3900000000000002E-2</v>
      </c>
      <c r="AH88" s="88">
        <f t="shared" si="5"/>
        <v>-1.8852879193484107E-2</v>
      </c>
      <c r="AI88" s="76"/>
      <c r="AJ88" s="76"/>
      <c r="AK88" s="77"/>
      <c r="AS88" s="73" t="s">
        <v>315</v>
      </c>
      <c r="AT88" s="87">
        <v>450.76</v>
      </c>
      <c r="AU88" s="79">
        <v>-1.8100000000000002E-2</v>
      </c>
      <c r="AV88" s="88">
        <f t="shared" si="6"/>
        <v>2.0488555839804468E-2</v>
      </c>
      <c r="AW88" s="76"/>
      <c r="AX88" s="76"/>
      <c r="AY88" s="79"/>
      <c r="BH88" s="73" t="s">
        <v>315</v>
      </c>
      <c r="BI88" s="87">
        <v>330.05</v>
      </c>
      <c r="BJ88" s="79">
        <v>-2.29E-2</v>
      </c>
      <c r="BK88" s="88">
        <f t="shared" si="7"/>
        <v>-3.069016152716586E-2</v>
      </c>
      <c r="BL88" s="76"/>
      <c r="BM88" s="76"/>
      <c r="BN88" s="79"/>
    </row>
    <row r="89" spans="16:66" x14ac:dyDescent="0.2">
      <c r="P89" s="73" t="s">
        <v>316</v>
      </c>
      <c r="Q89" s="74">
        <v>5855.25</v>
      </c>
      <c r="R89" s="77">
        <v>1.0800000000000001E-2</v>
      </c>
      <c r="S89" s="75">
        <f t="shared" si="4"/>
        <v>2.0022075621839441E-3</v>
      </c>
      <c r="T89" s="75"/>
      <c r="U89" s="76"/>
      <c r="V89" s="77"/>
      <c r="AE89" s="73" t="s">
        <v>316</v>
      </c>
      <c r="AF89" s="87">
        <v>825.1</v>
      </c>
      <c r="AG89" s="79">
        <v>-3.4500000000000003E-2</v>
      </c>
      <c r="AH89" s="88">
        <f t="shared" si="5"/>
        <v>-4.2029490305352302E-2</v>
      </c>
      <c r="AI89" s="76"/>
      <c r="AJ89" s="76"/>
      <c r="AK89" s="79"/>
      <c r="AS89" s="73" t="s">
        <v>316</v>
      </c>
      <c r="AT89" s="86">
        <v>459.05</v>
      </c>
      <c r="AU89" s="77">
        <v>6.0000000000000001E-3</v>
      </c>
      <c r="AV89" s="88">
        <f t="shared" si="6"/>
        <v>1.8391161593752869E-2</v>
      </c>
      <c r="AW89" s="76"/>
      <c r="AX89" s="76"/>
      <c r="AY89" s="77"/>
      <c r="BH89" s="73" t="s">
        <v>316</v>
      </c>
      <c r="BI89" s="87">
        <v>337.8</v>
      </c>
      <c r="BJ89" s="79">
        <v>-4.0000000000000002E-4</v>
      </c>
      <c r="BK89" s="88">
        <f t="shared" si="7"/>
        <v>2.3481290713528225E-2</v>
      </c>
      <c r="BL89" s="76"/>
      <c r="BM89" s="76"/>
      <c r="BN89" s="79"/>
    </row>
    <row r="90" spans="16:66" x14ac:dyDescent="0.2">
      <c r="P90" s="73" t="s">
        <v>317</v>
      </c>
      <c r="Q90" s="74">
        <v>5792.65</v>
      </c>
      <c r="R90" s="77">
        <v>1.0999999999999999E-2</v>
      </c>
      <c r="S90" s="75">
        <f t="shared" si="4"/>
        <v>-1.069125998035958E-2</v>
      </c>
      <c r="T90" s="75"/>
      <c r="U90" s="76"/>
      <c r="V90" s="77"/>
      <c r="AE90" s="73" t="s">
        <v>317</v>
      </c>
      <c r="AF90" s="86">
        <v>854.6</v>
      </c>
      <c r="AG90" s="77">
        <v>7.3000000000000001E-3</v>
      </c>
      <c r="AH90" s="88">
        <f t="shared" si="5"/>
        <v>3.575324203126895E-2</v>
      </c>
      <c r="AI90" s="76"/>
      <c r="AJ90" s="76"/>
      <c r="AK90" s="77"/>
      <c r="AS90" s="73" t="s">
        <v>317</v>
      </c>
      <c r="AT90" s="86">
        <v>456.31</v>
      </c>
      <c r="AU90" s="77">
        <v>2.53E-2</v>
      </c>
      <c r="AV90" s="88">
        <f t="shared" si="6"/>
        <v>-5.9688487092909304E-3</v>
      </c>
      <c r="AW90" s="76"/>
      <c r="AX90" s="76"/>
      <c r="AY90" s="77"/>
      <c r="BH90" s="73" t="s">
        <v>317</v>
      </c>
      <c r="BI90" s="86">
        <v>337.95</v>
      </c>
      <c r="BJ90" s="77">
        <v>9.1000000000000004E-3</v>
      </c>
      <c r="BK90" s="88">
        <f t="shared" si="7"/>
        <v>4.4404973357003996E-4</v>
      </c>
      <c r="BL90" s="76"/>
      <c r="BM90" s="76"/>
      <c r="BN90" s="77"/>
    </row>
    <row r="91" spans="16:66" x14ac:dyDescent="0.2">
      <c r="P91" s="73" t="s">
        <v>318</v>
      </c>
      <c r="Q91" s="78">
        <v>5729.65</v>
      </c>
      <c r="R91" s="79">
        <v>-1.9E-3</v>
      </c>
      <c r="S91" s="75">
        <f t="shared" si="4"/>
        <v>-1.0875851294312566E-2</v>
      </c>
      <c r="T91" s="75"/>
      <c r="U91" s="76"/>
      <c r="V91" s="79"/>
      <c r="AE91" s="73" t="s">
        <v>318</v>
      </c>
      <c r="AF91" s="86">
        <v>848.4</v>
      </c>
      <c r="AG91" s="77">
        <v>4.0399999999999998E-2</v>
      </c>
      <c r="AH91" s="88">
        <f t="shared" si="5"/>
        <v>-7.25485607301668E-3</v>
      </c>
      <c r="AI91" s="76"/>
      <c r="AJ91" s="76"/>
      <c r="AK91" s="77"/>
      <c r="AS91" s="73" t="s">
        <v>318</v>
      </c>
      <c r="AT91" s="87">
        <v>445.06</v>
      </c>
      <c r="AU91" s="79">
        <v>-3.9E-2</v>
      </c>
      <c r="AV91" s="88">
        <f t="shared" si="6"/>
        <v>-2.4654292038307268E-2</v>
      </c>
      <c r="AW91" s="76"/>
      <c r="AX91" s="76"/>
      <c r="AY91" s="79"/>
      <c r="BH91" s="73" t="s">
        <v>318</v>
      </c>
      <c r="BI91" s="87">
        <v>334.9</v>
      </c>
      <c r="BJ91" s="79">
        <v>-5.0500000000000003E-2</v>
      </c>
      <c r="BK91" s="88">
        <f t="shared" si="7"/>
        <v>-9.0250036987720161E-3</v>
      </c>
      <c r="BL91" s="76"/>
      <c r="BM91" s="76"/>
      <c r="BN91" s="79"/>
    </row>
    <row r="92" spans="16:66" x14ac:dyDescent="0.2">
      <c r="P92" s="73" t="s">
        <v>319</v>
      </c>
      <c r="Q92" s="74">
        <v>5740.3</v>
      </c>
      <c r="R92" s="77">
        <v>3.5000000000000001E-3</v>
      </c>
      <c r="S92" s="75">
        <f t="shared" si="4"/>
        <v>1.8587522798076961E-3</v>
      </c>
      <c r="T92" s="75"/>
      <c r="U92" s="76"/>
      <c r="V92" s="77"/>
      <c r="AE92" s="73" t="s">
        <v>319</v>
      </c>
      <c r="AF92" s="86">
        <v>815.45</v>
      </c>
      <c r="AG92" s="77">
        <v>0.1031</v>
      </c>
      <c r="AH92" s="88">
        <f t="shared" si="5"/>
        <v>-3.8837812352663703E-2</v>
      </c>
      <c r="AI92" s="76"/>
      <c r="AJ92" s="76"/>
      <c r="AK92" s="77"/>
      <c r="AS92" s="73" t="s">
        <v>319</v>
      </c>
      <c r="AT92" s="86">
        <v>463.11</v>
      </c>
      <c r="AU92" s="77">
        <v>2.41E-2</v>
      </c>
      <c r="AV92" s="88">
        <f t="shared" si="6"/>
        <v>4.0556329483665055E-2</v>
      </c>
      <c r="AW92" s="76"/>
      <c r="AX92" s="76"/>
      <c r="AY92" s="77"/>
      <c r="BH92" s="73" t="s">
        <v>319</v>
      </c>
      <c r="BI92" s="87">
        <v>352.7</v>
      </c>
      <c r="BJ92" s="79">
        <v>-5.8999999999999999E-3</v>
      </c>
      <c r="BK92" s="88">
        <f t="shared" si="7"/>
        <v>5.3150194087787428E-2</v>
      </c>
      <c r="BL92" s="76"/>
      <c r="BM92" s="76"/>
      <c r="BN92" s="79"/>
    </row>
    <row r="93" spans="16:66" x14ac:dyDescent="0.2">
      <c r="P93" s="73" t="s">
        <v>320</v>
      </c>
      <c r="Q93" s="78">
        <v>5720.35</v>
      </c>
      <c r="R93" s="79">
        <v>-2.5999999999999999E-2</v>
      </c>
      <c r="S93" s="75">
        <f t="shared" si="4"/>
        <v>-3.4754281135132015E-3</v>
      </c>
      <c r="T93" s="75"/>
      <c r="U93" s="76"/>
      <c r="V93" s="79"/>
      <c r="AE93" s="73" t="s">
        <v>320</v>
      </c>
      <c r="AF93" s="86">
        <v>739.25</v>
      </c>
      <c r="AG93" s="77">
        <v>3.1300000000000001E-2</v>
      </c>
      <c r="AH93" s="88">
        <f t="shared" si="5"/>
        <v>-9.3445336930529255E-2</v>
      </c>
      <c r="AI93" s="76"/>
      <c r="AJ93" s="76"/>
      <c r="AK93" s="77"/>
      <c r="AS93" s="73" t="s">
        <v>320</v>
      </c>
      <c r="AT93" s="87">
        <v>452.22</v>
      </c>
      <c r="AU93" s="79">
        <v>-5.16E-2</v>
      </c>
      <c r="AV93" s="88">
        <f t="shared" si="6"/>
        <v>-2.3514931657705462E-2</v>
      </c>
      <c r="AW93" s="76"/>
      <c r="AX93" s="76"/>
      <c r="AY93" s="79"/>
      <c r="BH93" s="73" t="s">
        <v>320</v>
      </c>
      <c r="BI93" s="86">
        <v>354.8</v>
      </c>
      <c r="BJ93" s="77">
        <v>5.6599999999999998E-2</v>
      </c>
      <c r="BK93" s="88">
        <f t="shared" si="7"/>
        <v>5.9540686135526322E-3</v>
      </c>
      <c r="BL93" s="76"/>
      <c r="BM93" s="76"/>
      <c r="BN93" s="77"/>
    </row>
    <row r="94" spans="16:66" x14ac:dyDescent="0.2">
      <c r="P94" s="73" t="s">
        <v>321</v>
      </c>
      <c r="Q94" s="78">
        <v>5872.8</v>
      </c>
      <c r="R94" s="79">
        <v>-8.9999999999999998E-4</v>
      </c>
      <c r="S94" s="75">
        <f t="shared" si="4"/>
        <v>2.6650467191692728E-2</v>
      </c>
      <c r="T94" s="75"/>
      <c r="U94" s="76"/>
      <c r="V94" s="79"/>
      <c r="AE94" s="73" t="s">
        <v>321</v>
      </c>
      <c r="AF94" s="86">
        <v>716.8</v>
      </c>
      <c r="AG94" s="77">
        <v>2.7699999999999999E-2</v>
      </c>
      <c r="AH94" s="88">
        <f t="shared" si="5"/>
        <v>-3.0368616841393359E-2</v>
      </c>
      <c r="AI94" s="76"/>
      <c r="AJ94" s="76"/>
      <c r="AK94" s="77"/>
      <c r="AS94" s="73" t="s">
        <v>321</v>
      </c>
      <c r="AT94" s="86">
        <v>476.83</v>
      </c>
      <c r="AU94" s="77">
        <v>9.2200000000000004E-2</v>
      </c>
      <c r="AV94" s="88">
        <f t="shared" si="6"/>
        <v>5.4420414842333287E-2</v>
      </c>
      <c r="AW94" s="76"/>
      <c r="AX94" s="76"/>
      <c r="AY94" s="77"/>
      <c r="BH94" s="73" t="s">
        <v>321</v>
      </c>
      <c r="BI94" s="86">
        <v>335.8</v>
      </c>
      <c r="BJ94" s="77">
        <v>2.46E-2</v>
      </c>
      <c r="BK94" s="88">
        <f t="shared" si="7"/>
        <v>-5.3551296505073287E-2</v>
      </c>
      <c r="BL94" s="76"/>
      <c r="BM94" s="76"/>
      <c r="BN94" s="77"/>
    </row>
    <row r="95" spans="16:66" x14ac:dyDescent="0.2">
      <c r="P95" s="73" t="s">
        <v>322</v>
      </c>
      <c r="Q95" s="74">
        <v>5877.95</v>
      </c>
      <c r="R95" s="77">
        <v>1.5699999999999999E-2</v>
      </c>
      <c r="S95" s="75">
        <f t="shared" si="4"/>
        <v>8.7692412477857751E-4</v>
      </c>
      <c r="T95" s="75"/>
      <c r="U95" s="76"/>
      <c r="V95" s="77"/>
      <c r="AE95" s="73" t="s">
        <v>322</v>
      </c>
      <c r="AF95" s="87">
        <v>697.5</v>
      </c>
      <c r="AG95" s="79">
        <v>-1.4500000000000001E-2</v>
      </c>
      <c r="AH95" s="88">
        <f t="shared" si="5"/>
        <v>-2.6925223214285698E-2</v>
      </c>
      <c r="AI95" s="76"/>
      <c r="AJ95" s="76"/>
      <c r="AK95" s="79"/>
      <c r="AS95" s="73" t="s">
        <v>322</v>
      </c>
      <c r="AT95" s="86">
        <v>436.56</v>
      </c>
      <c r="AU95" s="77">
        <v>2.3999999999999998E-3</v>
      </c>
      <c r="AV95" s="88">
        <f t="shared" si="6"/>
        <v>-8.4453578843613042E-2</v>
      </c>
      <c r="AW95" s="76"/>
      <c r="AX95" s="76"/>
      <c r="AY95" s="77"/>
      <c r="BH95" s="73" t="s">
        <v>322</v>
      </c>
      <c r="BI95" s="86">
        <v>327.75</v>
      </c>
      <c r="BJ95" s="77">
        <v>1.9300000000000001E-2</v>
      </c>
      <c r="BK95" s="88">
        <f t="shared" si="7"/>
        <v>-2.3972602739726012E-2</v>
      </c>
      <c r="BL95" s="76"/>
      <c r="BM95" s="76"/>
      <c r="BN95" s="77"/>
    </row>
    <row r="96" spans="16:66" x14ac:dyDescent="0.2">
      <c r="P96" s="73" t="s">
        <v>323</v>
      </c>
      <c r="Q96" s="74">
        <v>5787.05</v>
      </c>
      <c r="R96" s="77">
        <v>4.3299999999999998E-2</v>
      </c>
      <c r="S96" s="75">
        <f t="shared" si="4"/>
        <v>-1.5464575234563016E-2</v>
      </c>
      <c r="T96" s="75"/>
      <c r="U96" s="76"/>
      <c r="V96" s="77"/>
      <c r="AE96" s="73" t="s">
        <v>323</v>
      </c>
      <c r="AF96" s="86">
        <v>707.75</v>
      </c>
      <c r="AG96" s="77">
        <v>1.6000000000000001E-3</v>
      </c>
      <c r="AH96" s="88">
        <f t="shared" si="5"/>
        <v>1.469534050179222E-2</v>
      </c>
      <c r="AI96" s="76"/>
      <c r="AJ96" s="76"/>
      <c r="AK96" s="77"/>
      <c r="AS96" s="73" t="s">
        <v>323</v>
      </c>
      <c r="AT96" s="86">
        <v>435.51</v>
      </c>
      <c r="AU96" s="77">
        <v>2.8000000000000001E-2</v>
      </c>
      <c r="AV96" s="88">
        <f t="shared" si="6"/>
        <v>-2.4051676745464601E-3</v>
      </c>
      <c r="AW96" s="76"/>
      <c r="AX96" s="76"/>
      <c r="AY96" s="77"/>
      <c r="BH96" s="73" t="s">
        <v>323</v>
      </c>
      <c r="BI96" s="87">
        <v>321.55</v>
      </c>
      <c r="BJ96" s="79">
        <v>-1.55E-2</v>
      </c>
      <c r="BK96" s="88">
        <f t="shared" si="7"/>
        <v>-1.8916857360793293E-2</v>
      </c>
      <c r="BL96" s="76"/>
      <c r="BM96" s="76"/>
      <c r="BN96" s="79"/>
    </row>
    <row r="97" spans="16:66" x14ac:dyDescent="0.2">
      <c r="P97" s="73" t="s">
        <v>324</v>
      </c>
      <c r="Q97" s="74">
        <v>5546.8</v>
      </c>
      <c r="R97" s="77">
        <v>1.2999999999999999E-2</v>
      </c>
      <c r="S97" s="75">
        <f t="shared" si="4"/>
        <v>-4.1515107006160346E-2</v>
      </c>
      <c r="T97" s="75"/>
      <c r="U97" s="76"/>
      <c r="V97" s="77"/>
      <c r="AE97" s="73" t="s">
        <v>324</v>
      </c>
      <c r="AF97" s="87">
        <v>706.65</v>
      </c>
      <c r="AG97" s="79">
        <v>-1.2500000000000001E-2</v>
      </c>
      <c r="AH97" s="88">
        <f t="shared" si="5"/>
        <v>-1.5542211232780767E-3</v>
      </c>
      <c r="AI97" s="76"/>
      <c r="AJ97" s="76"/>
      <c r="AK97" s="79"/>
      <c r="AS97" s="73" t="s">
        <v>324</v>
      </c>
      <c r="AT97" s="86">
        <v>423.65</v>
      </c>
      <c r="AU97" s="77">
        <v>0.186</v>
      </c>
      <c r="AV97" s="88">
        <f t="shared" si="6"/>
        <v>-2.7232440127666457E-2</v>
      </c>
      <c r="AW97" s="76"/>
      <c r="AX97" s="76"/>
      <c r="AY97" s="77"/>
      <c r="BH97" s="73" t="s">
        <v>324</v>
      </c>
      <c r="BI97" s="87">
        <v>326.60000000000002</v>
      </c>
      <c r="BJ97" s="79">
        <v>-9.5999999999999992E-3</v>
      </c>
      <c r="BK97" s="88">
        <f t="shared" si="7"/>
        <v>1.5705178043850188E-2</v>
      </c>
      <c r="BL97" s="76"/>
      <c r="BM97" s="76"/>
      <c r="BN97" s="79"/>
    </row>
    <row r="98" spans="16:66" x14ac:dyDescent="0.2">
      <c r="P98" s="73" t="s">
        <v>325</v>
      </c>
      <c r="Q98" s="74">
        <v>5475.55</v>
      </c>
      <c r="R98" s="77">
        <v>2.7199999999999998E-2</v>
      </c>
      <c r="S98" s="75">
        <f t="shared" si="4"/>
        <v>-1.2845244104708997E-2</v>
      </c>
      <c r="T98" s="75"/>
      <c r="U98" s="76"/>
      <c r="V98" s="77"/>
      <c r="AE98" s="73" t="s">
        <v>325</v>
      </c>
      <c r="AF98" s="87">
        <v>715.6</v>
      </c>
      <c r="AG98" s="79">
        <v>-1.8200000000000001E-2</v>
      </c>
      <c r="AH98" s="88">
        <f t="shared" si="5"/>
        <v>1.2665393051722873E-2</v>
      </c>
      <c r="AI98" s="76"/>
      <c r="AJ98" s="76"/>
      <c r="AK98" s="79"/>
      <c r="AS98" s="73" t="s">
        <v>325</v>
      </c>
      <c r="AT98" s="87">
        <v>357.2</v>
      </c>
      <c r="AU98" s="79">
        <v>-3.7999999999999999E-2</v>
      </c>
      <c r="AV98" s="88">
        <f t="shared" si="6"/>
        <v>-0.15685117431842321</v>
      </c>
      <c r="AW98" s="76"/>
      <c r="AX98" s="76"/>
      <c r="AY98" s="79"/>
      <c r="BH98" s="73" t="s">
        <v>325</v>
      </c>
      <c r="BI98" s="87">
        <v>329.75</v>
      </c>
      <c r="BJ98" s="79">
        <v>-4.5900000000000003E-2</v>
      </c>
      <c r="BK98" s="88">
        <f t="shared" si="7"/>
        <v>9.6448254745866713E-3</v>
      </c>
      <c r="BL98" s="76"/>
      <c r="BM98" s="76"/>
      <c r="BN98" s="79"/>
    </row>
    <row r="99" spans="16:66" x14ac:dyDescent="0.2">
      <c r="P99" s="73" t="s">
        <v>326</v>
      </c>
      <c r="Q99" s="78">
        <v>5330.3</v>
      </c>
      <c r="R99" s="79">
        <v>-1.17E-2</v>
      </c>
      <c r="S99" s="75">
        <f t="shared" si="4"/>
        <v>-2.6527015550949273E-2</v>
      </c>
      <c r="T99" s="75"/>
      <c r="U99" s="76"/>
      <c r="V99" s="79"/>
      <c r="AE99" s="73" t="s">
        <v>326</v>
      </c>
      <c r="AF99" s="86">
        <v>728.9</v>
      </c>
      <c r="AG99" s="77">
        <v>4.5999999999999999E-3</v>
      </c>
      <c r="AH99" s="88">
        <f t="shared" si="5"/>
        <v>1.8585802124091666E-2</v>
      </c>
      <c r="AI99" s="76"/>
      <c r="AJ99" s="76"/>
      <c r="AK99" s="77"/>
      <c r="AS99" s="73" t="s">
        <v>326</v>
      </c>
      <c r="AT99" s="86">
        <v>371.31</v>
      </c>
      <c r="AU99" s="77">
        <v>3.5999999999999999E-3</v>
      </c>
      <c r="AV99" s="88">
        <f t="shared" si="6"/>
        <v>3.9501679731243078E-2</v>
      </c>
      <c r="AW99" s="76"/>
      <c r="AX99" s="76"/>
      <c r="AY99" s="77"/>
      <c r="BH99" s="73" t="s">
        <v>326</v>
      </c>
      <c r="BI99" s="86">
        <v>345.6</v>
      </c>
      <c r="BJ99" s="77">
        <v>6.6799999999999998E-2</v>
      </c>
      <c r="BK99" s="88">
        <f t="shared" si="7"/>
        <v>4.8066717210007548E-2</v>
      </c>
      <c r="BL99" s="76"/>
      <c r="BM99" s="76"/>
      <c r="BN99" s="77"/>
    </row>
    <row r="100" spans="16:66" x14ac:dyDescent="0.2">
      <c r="P100" s="73" t="s">
        <v>327</v>
      </c>
      <c r="Q100" s="78">
        <v>5393.65</v>
      </c>
      <c r="R100" s="79">
        <v>-1.2800000000000001E-2</v>
      </c>
      <c r="S100" s="75">
        <f t="shared" si="4"/>
        <v>1.1884884528075235E-2</v>
      </c>
      <c r="T100" s="75"/>
      <c r="U100" s="76"/>
      <c r="V100" s="79"/>
      <c r="AE100" s="73" t="s">
        <v>327</v>
      </c>
      <c r="AF100" s="86">
        <v>725.55</v>
      </c>
      <c r="AG100" s="77">
        <v>4.9000000000000002E-2</v>
      </c>
      <c r="AH100" s="88">
        <f t="shared" si="5"/>
        <v>-4.5959665249005743E-3</v>
      </c>
      <c r="AI100" s="76"/>
      <c r="AJ100" s="76"/>
      <c r="AK100" s="77"/>
      <c r="AS100" s="73" t="s">
        <v>327</v>
      </c>
      <c r="AT100" s="87">
        <v>369.96</v>
      </c>
      <c r="AU100" s="79">
        <v>-1.6899999999999998E-2</v>
      </c>
      <c r="AV100" s="88">
        <f t="shared" si="6"/>
        <v>-3.6357760361962477E-3</v>
      </c>
      <c r="AW100" s="76"/>
      <c r="AX100" s="76"/>
      <c r="AY100" s="79"/>
      <c r="BH100" s="73" t="s">
        <v>327</v>
      </c>
      <c r="BI100" s="87">
        <v>323.95</v>
      </c>
      <c r="BJ100" s="79">
        <v>-3.6700000000000003E-2</v>
      </c>
      <c r="BK100" s="88">
        <f t="shared" si="7"/>
        <v>-6.2644675925926041E-2</v>
      </c>
      <c r="BL100" s="76"/>
      <c r="BM100" s="76"/>
      <c r="BN100" s="79"/>
    </row>
    <row r="101" spans="16:66" x14ac:dyDescent="0.2">
      <c r="P101" s="73" t="s">
        <v>328</v>
      </c>
      <c r="Q101" s="74">
        <v>5463.55</v>
      </c>
      <c r="R101" s="77">
        <v>5.4800000000000001E-2</v>
      </c>
      <c r="S101" s="75">
        <f t="shared" si="4"/>
        <v>1.2959684072937794E-2</v>
      </c>
      <c r="T101" s="75"/>
      <c r="U101" s="76"/>
      <c r="V101" s="77"/>
      <c r="AE101" s="73" t="s">
        <v>328</v>
      </c>
      <c r="AF101" s="86">
        <v>691.65</v>
      </c>
      <c r="AG101" s="77">
        <v>0.16470000000000001</v>
      </c>
      <c r="AH101" s="88">
        <f t="shared" si="5"/>
        <v>-4.6723175522017768E-2</v>
      </c>
      <c r="AI101" s="76"/>
      <c r="AJ101" s="76"/>
      <c r="AK101" s="77"/>
      <c r="AS101" s="73" t="s">
        <v>328</v>
      </c>
      <c r="AT101" s="86">
        <v>376.31</v>
      </c>
      <c r="AU101" s="77">
        <v>7.2900000000000006E-2</v>
      </c>
      <c r="AV101" s="88">
        <f t="shared" si="6"/>
        <v>1.7164017731646775E-2</v>
      </c>
      <c r="AW101" s="76"/>
      <c r="AX101" s="76"/>
      <c r="AY101" s="77"/>
      <c r="BH101" s="73" t="s">
        <v>328</v>
      </c>
      <c r="BI101" s="86">
        <v>336.3</v>
      </c>
      <c r="BJ101" s="77">
        <v>6.2600000000000003E-2</v>
      </c>
      <c r="BK101" s="88">
        <f t="shared" si="7"/>
        <v>3.8123167155425186E-2</v>
      </c>
      <c r="BL101" s="76"/>
      <c r="BM101" s="76"/>
      <c r="BN101" s="77"/>
    </row>
    <row r="102" spans="16:66" x14ac:dyDescent="0.2">
      <c r="P102" s="73" t="s">
        <v>329</v>
      </c>
      <c r="Q102" s="78">
        <v>5179.8</v>
      </c>
      <c r="R102" s="79">
        <v>-1.1599999999999999E-2</v>
      </c>
      <c r="S102" s="75">
        <f t="shared" si="4"/>
        <v>-5.1935097143798403E-2</v>
      </c>
      <c r="T102" s="75"/>
      <c r="U102" s="76"/>
      <c r="V102" s="79"/>
      <c r="AE102" s="73" t="s">
        <v>329</v>
      </c>
      <c r="AF102" s="86">
        <v>593.85</v>
      </c>
      <c r="AG102" s="77">
        <v>6.7500000000000004E-2</v>
      </c>
      <c r="AH102" s="88">
        <f t="shared" si="5"/>
        <v>-0.14140099761440028</v>
      </c>
      <c r="AI102" s="76"/>
      <c r="AJ102" s="76"/>
      <c r="AK102" s="77"/>
      <c r="AS102" s="73" t="s">
        <v>329</v>
      </c>
      <c r="AT102" s="86">
        <v>350.75</v>
      </c>
      <c r="AU102" s="77">
        <v>2.29E-2</v>
      </c>
      <c r="AV102" s="88">
        <f t="shared" si="6"/>
        <v>-6.7922723286651943E-2</v>
      </c>
      <c r="AW102" s="76"/>
      <c r="AX102" s="76"/>
      <c r="AY102" s="77"/>
      <c r="BH102" s="73" t="s">
        <v>329</v>
      </c>
      <c r="BI102" s="87">
        <v>316.5</v>
      </c>
      <c r="BJ102" s="79">
        <v>-3.8600000000000002E-2</v>
      </c>
      <c r="BK102" s="88">
        <f t="shared" si="7"/>
        <v>-5.887600356824263E-2</v>
      </c>
      <c r="BL102" s="76"/>
      <c r="BM102" s="76"/>
      <c r="BN102" s="79"/>
    </row>
    <row r="103" spans="16:66" x14ac:dyDescent="0.2">
      <c r="P103" s="73" t="s">
        <v>330</v>
      </c>
      <c r="Q103" s="74">
        <v>5240.7</v>
      </c>
      <c r="R103" s="77">
        <v>3.0300000000000001E-2</v>
      </c>
      <c r="S103" s="75">
        <f t="shared" si="4"/>
        <v>1.1757210703115861E-2</v>
      </c>
      <c r="T103" s="75"/>
      <c r="U103" s="76"/>
      <c r="V103" s="77"/>
      <c r="AE103" s="73" t="s">
        <v>330</v>
      </c>
      <c r="AF103" s="86">
        <v>556.29999999999995</v>
      </c>
      <c r="AG103" s="77">
        <v>1.8599999999999998E-2</v>
      </c>
      <c r="AH103" s="88">
        <f t="shared" si="5"/>
        <v>-6.3231455754820365E-2</v>
      </c>
      <c r="AI103" s="76"/>
      <c r="AJ103" s="76"/>
      <c r="AK103" s="77"/>
      <c r="AS103" s="73" t="s">
        <v>330</v>
      </c>
      <c r="AT103" s="87">
        <v>342.89</v>
      </c>
      <c r="AU103" s="79">
        <v>-9.5999999999999992E-3</v>
      </c>
      <c r="AV103" s="88">
        <f t="shared" si="6"/>
        <v>-2.2409123307198908E-2</v>
      </c>
      <c r="AW103" s="76"/>
      <c r="AX103" s="76"/>
      <c r="AY103" s="79"/>
      <c r="BH103" s="73" t="s">
        <v>330</v>
      </c>
      <c r="BI103" s="87">
        <v>329.2</v>
      </c>
      <c r="BJ103" s="79">
        <v>-4.3900000000000002E-2</v>
      </c>
      <c r="BK103" s="88">
        <f t="shared" si="7"/>
        <v>4.0126382306477026E-2</v>
      </c>
      <c r="BL103" s="76"/>
      <c r="BM103" s="76"/>
      <c r="BN103" s="79"/>
    </row>
    <row r="104" spans="16:66" x14ac:dyDescent="0.2">
      <c r="P104" s="73" t="s">
        <v>331</v>
      </c>
      <c r="Q104" s="74">
        <v>5086.8</v>
      </c>
      <c r="R104" s="77">
        <v>3.8999999999999998E-3</v>
      </c>
      <c r="S104" s="75">
        <f t="shared" si="4"/>
        <v>-2.9366306027820643E-2</v>
      </c>
      <c r="T104" s="75"/>
      <c r="U104" s="76"/>
      <c r="V104" s="77"/>
      <c r="AE104" s="73" t="s">
        <v>331</v>
      </c>
      <c r="AF104" s="86">
        <v>546.15</v>
      </c>
      <c r="AG104" s="77">
        <v>3.8800000000000001E-2</v>
      </c>
      <c r="AH104" s="88">
        <f t="shared" si="5"/>
        <v>-1.8245550961711321E-2</v>
      </c>
      <c r="AI104" s="76"/>
      <c r="AJ104" s="76"/>
      <c r="AK104" s="77"/>
      <c r="AS104" s="73" t="s">
        <v>331</v>
      </c>
      <c r="AT104" s="86">
        <v>346.23</v>
      </c>
      <c r="AU104" s="77">
        <v>1.15E-2</v>
      </c>
      <c r="AV104" s="88">
        <f t="shared" si="6"/>
        <v>9.7407331797370045E-3</v>
      </c>
      <c r="AW104" s="76"/>
      <c r="AX104" s="76"/>
      <c r="AY104" s="77"/>
      <c r="BH104" s="73" t="s">
        <v>331</v>
      </c>
      <c r="BI104" s="86">
        <v>344.3</v>
      </c>
      <c r="BJ104" s="77">
        <v>4.2700000000000002E-2</v>
      </c>
      <c r="BK104" s="88">
        <f t="shared" si="7"/>
        <v>4.586877278250312E-2</v>
      </c>
      <c r="BL104" s="76"/>
      <c r="BM104" s="76"/>
      <c r="BN104" s="77"/>
    </row>
    <row r="105" spans="16:66" x14ac:dyDescent="0.2">
      <c r="P105" s="73" t="s">
        <v>332</v>
      </c>
      <c r="Q105" s="74">
        <v>5066.8</v>
      </c>
      <c r="R105" s="77">
        <v>6.7900000000000002E-2</v>
      </c>
      <c r="S105" s="75">
        <f t="shared" si="4"/>
        <v>-3.9317449083903222E-3</v>
      </c>
      <c r="T105" s="75"/>
      <c r="U105" s="76"/>
      <c r="V105" s="77"/>
      <c r="AE105" s="73" t="s">
        <v>332</v>
      </c>
      <c r="AF105" s="87">
        <v>525.75</v>
      </c>
      <c r="AG105" s="79">
        <v>-9.1000000000000004E-3</v>
      </c>
      <c r="AH105" s="88">
        <f t="shared" si="5"/>
        <v>-3.7352375720955733E-2</v>
      </c>
      <c r="AI105" s="76"/>
      <c r="AJ105" s="76"/>
      <c r="AK105" s="79"/>
      <c r="AS105" s="73" t="s">
        <v>332</v>
      </c>
      <c r="AT105" s="86">
        <v>342.31</v>
      </c>
      <c r="AU105" s="77">
        <v>2.46E-2</v>
      </c>
      <c r="AV105" s="88">
        <f t="shared" si="6"/>
        <v>-1.1321953614649272E-2</v>
      </c>
      <c r="AW105" s="76"/>
      <c r="AX105" s="76"/>
      <c r="AY105" s="77"/>
      <c r="BH105" s="73" t="s">
        <v>332</v>
      </c>
      <c r="BI105" s="86">
        <v>330.2</v>
      </c>
      <c r="BJ105" s="77">
        <v>3.95E-2</v>
      </c>
      <c r="BK105" s="88">
        <f t="shared" si="7"/>
        <v>-4.0952657566076134E-2</v>
      </c>
      <c r="BL105" s="76"/>
      <c r="BM105" s="76"/>
      <c r="BN105" s="77"/>
    </row>
    <row r="106" spans="16:66" x14ac:dyDescent="0.2">
      <c r="P106" s="73" t="s">
        <v>333</v>
      </c>
      <c r="Q106" s="78">
        <v>4744.6000000000004</v>
      </c>
      <c r="R106" s="79">
        <v>-1.1599999999999999E-2</v>
      </c>
      <c r="S106" s="75">
        <f t="shared" si="4"/>
        <v>-6.3590431830741312E-2</v>
      </c>
      <c r="T106" s="75"/>
      <c r="U106" s="76"/>
      <c r="V106" s="79"/>
      <c r="AE106" s="73" t="s">
        <v>333</v>
      </c>
      <c r="AF106" s="86">
        <v>530.6</v>
      </c>
      <c r="AG106" s="77">
        <v>6.0000000000000001E-3</v>
      </c>
      <c r="AH106" s="88">
        <f t="shared" si="5"/>
        <v>9.2249167855444902E-3</v>
      </c>
      <c r="AI106" s="76"/>
      <c r="AJ106" s="76"/>
      <c r="AK106" s="77"/>
      <c r="AS106" s="73" t="s">
        <v>333</v>
      </c>
      <c r="AT106" s="86">
        <v>334.1</v>
      </c>
      <c r="AU106" s="77">
        <v>5.9999999999999995E-4</v>
      </c>
      <c r="AV106" s="88">
        <f t="shared" si="6"/>
        <v>-2.3984107972305768E-2</v>
      </c>
      <c r="AW106" s="76"/>
      <c r="AX106" s="76"/>
      <c r="AY106" s="77"/>
      <c r="BH106" s="73" t="s">
        <v>333</v>
      </c>
      <c r="BI106" s="86">
        <v>317.64999999999998</v>
      </c>
      <c r="BJ106" s="77">
        <v>1.6999999999999999E-3</v>
      </c>
      <c r="BK106" s="88">
        <f t="shared" si="7"/>
        <v>-3.8007268322229004E-2</v>
      </c>
      <c r="BL106" s="76"/>
      <c r="BM106" s="76"/>
      <c r="BN106" s="77"/>
    </row>
    <row r="107" spans="16:66" ht="18" x14ac:dyDescent="0.2">
      <c r="S107" s="75"/>
      <c r="AE107" s="91"/>
      <c r="AS107" s="91"/>
      <c r="BH107" s="91"/>
    </row>
    <row r="108" spans="16:66" ht="18" x14ac:dyDescent="0.2">
      <c r="S108" s="75"/>
      <c r="AE108" s="96"/>
      <c r="AS108" s="92"/>
      <c r="BH108" s="92"/>
    </row>
    <row r="109" spans="16:66" ht="18" x14ac:dyDescent="0.2">
      <c r="S109" s="75"/>
      <c r="AE109" s="91"/>
      <c r="AS109" s="91"/>
      <c r="BH109" s="91"/>
    </row>
    <row r="110" spans="16:66" ht="18" x14ac:dyDescent="0.2">
      <c r="S110" s="75"/>
      <c r="AE110" s="92"/>
      <c r="AS110" s="92"/>
      <c r="BH110" s="92"/>
    </row>
    <row r="111" spans="16:66" ht="18" x14ac:dyDescent="0.2">
      <c r="S111" s="75"/>
      <c r="AE111" s="91"/>
      <c r="AS111" s="91"/>
      <c r="BH111" s="91"/>
    </row>
    <row r="112" spans="16:66" ht="18" x14ac:dyDescent="0.2">
      <c r="S112" s="75"/>
      <c r="AE112" s="92"/>
      <c r="AS112" s="92"/>
      <c r="BH112" s="92"/>
    </row>
    <row r="113" spans="19:60" ht="18" x14ac:dyDescent="0.2">
      <c r="S113" s="75"/>
      <c r="AE113" s="91"/>
      <c r="AS113" s="91"/>
      <c r="BH113" s="91"/>
    </row>
    <row r="114" spans="19:60" ht="18" x14ac:dyDescent="0.2">
      <c r="S114" s="75"/>
      <c r="AE114" s="92"/>
      <c r="AS114" s="92"/>
      <c r="BH114" s="92"/>
    </row>
    <row r="115" spans="19:60" ht="18" x14ac:dyDescent="0.2">
      <c r="S115" s="75"/>
      <c r="AE115" s="91"/>
      <c r="AS115" s="91"/>
      <c r="BH115" s="91"/>
    </row>
    <row r="116" spans="19:60" ht="18" x14ac:dyDescent="0.2">
      <c r="S116" s="75"/>
      <c r="AE116" s="92"/>
      <c r="AS116" s="92"/>
      <c r="BH116" s="92"/>
    </row>
    <row r="117" spans="19:60" ht="23" x14ac:dyDescent="0.25">
      <c r="S117" s="75"/>
      <c r="AE117" s="93"/>
      <c r="BH117" s="93"/>
    </row>
    <row r="118" spans="19:60" x14ac:dyDescent="0.2">
      <c r="S118" s="75"/>
    </row>
    <row r="119" spans="19:60" ht="18" x14ac:dyDescent="0.2">
      <c r="S119" s="75"/>
      <c r="AE119" s="94"/>
      <c r="BH119" s="94"/>
    </row>
    <row r="120" spans="19:60" x14ac:dyDescent="0.2">
      <c r="S120" s="75"/>
    </row>
    <row r="121" spans="19:60" ht="18" x14ac:dyDescent="0.2">
      <c r="S121" s="75"/>
      <c r="AE121" s="95"/>
      <c r="BH121" s="95"/>
    </row>
    <row r="122" spans="19:60" x14ac:dyDescent="0.2">
      <c r="S122" s="75"/>
    </row>
    <row r="123" spans="19:60" ht="18" x14ac:dyDescent="0.2">
      <c r="S123" s="75"/>
      <c r="AE123" s="94"/>
      <c r="BH123" s="94"/>
    </row>
    <row r="124" spans="19:60" x14ac:dyDescent="0.2">
      <c r="S124" s="75"/>
    </row>
    <row r="125" spans="19:60" ht="18" x14ac:dyDescent="0.2">
      <c r="S125" s="75"/>
      <c r="AE125" s="95"/>
      <c r="BH125" s="95"/>
    </row>
    <row r="126" spans="19:60" x14ac:dyDescent="0.2">
      <c r="S126" s="75"/>
    </row>
    <row r="127" spans="19:60" ht="18" x14ac:dyDescent="0.2">
      <c r="S127" s="75"/>
      <c r="AE127" s="94"/>
      <c r="BH127" s="94"/>
    </row>
    <row r="128" spans="19:60" x14ac:dyDescent="0.2">
      <c r="S128" s="75"/>
    </row>
    <row r="129" spans="19:60" ht="18" x14ac:dyDescent="0.2">
      <c r="S129" s="75"/>
      <c r="AE129" s="95"/>
      <c r="BH129" s="95"/>
    </row>
    <row r="130" spans="19:60" x14ac:dyDescent="0.2">
      <c r="S130" s="75"/>
    </row>
    <row r="131" spans="19:60" ht="18" x14ac:dyDescent="0.2">
      <c r="S131" s="75"/>
      <c r="AE131" s="94"/>
      <c r="BH131" s="94"/>
    </row>
    <row r="132" spans="19:60" x14ac:dyDescent="0.2">
      <c r="S132" s="75"/>
    </row>
    <row r="133" spans="19:60" ht="18" x14ac:dyDescent="0.2">
      <c r="S133" s="75"/>
      <c r="AE133" s="95"/>
      <c r="BH133" s="95"/>
    </row>
    <row r="134" spans="19:60" x14ac:dyDescent="0.2">
      <c r="S134" s="75"/>
    </row>
    <row r="135" spans="19:60" ht="18" x14ac:dyDescent="0.2">
      <c r="S135" s="75"/>
      <c r="AE135" s="94"/>
    </row>
    <row r="136" spans="19:60" x14ac:dyDescent="0.2">
      <c r="S136" s="75"/>
    </row>
    <row r="137" spans="19:60" ht="18" x14ac:dyDescent="0.2">
      <c r="S137" s="75"/>
      <c r="AE137" s="95" t="s">
        <v>364</v>
      </c>
    </row>
    <row r="138" spans="19:60" x14ac:dyDescent="0.2">
      <c r="S138" s="75"/>
    </row>
    <row r="139" spans="19:60" x14ac:dyDescent="0.2">
      <c r="S139" s="75"/>
    </row>
    <row r="140" spans="19:60" x14ac:dyDescent="0.2">
      <c r="S140" s="75"/>
    </row>
    <row r="141" spans="19:60" x14ac:dyDescent="0.2">
      <c r="S141" s="75"/>
    </row>
    <row r="142" spans="19:60" x14ac:dyDescent="0.2">
      <c r="S142" s="75"/>
    </row>
    <row r="143" spans="19:60" x14ac:dyDescent="0.2">
      <c r="S143" s="75"/>
    </row>
    <row r="144" spans="19:60" x14ac:dyDescent="0.2">
      <c r="S144" s="75"/>
    </row>
    <row r="145" spans="19:19" x14ac:dyDescent="0.2">
      <c r="S145" s="75"/>
    </row>
    <row r="146" spans="19:19" x14ac:dyDescent="0.2">
      <c r="S146" s="75"/>
    </row>
    <row r="147" spans="19:19" x14ac:dyDescent="0.2">
      <c r="S147" s="75"/>
    </row>
    <row r="148" spans="19:19" x14ac:dyDescent="0.2">
      <c r="S148" s="75"/>
    </row>
    <row r="149" spans="19:19" x14ac:dyDescent="0.2">
      <c r="S149" s="75"/>
    </row>
    <row r="150" spans="19:19" x14ac:dyDescent="0.2">
      <c r="S150" s="75"/>
    </row>
    <row r="151" spans="19:19" x14ac:dyDescent="0.2">
      <c r="S151" s="75"/>
    </row>
    <row r="152" spans="19:19" x14ac:dyDescent="0.2">
      <c r="S152" s="75"/>
    </row>
    <row r="153" spans="19:19" x14ac:dyDescent="0.2">
      <c r="S153" s="75"/>
    </row>
    <row r="154" spans="19:19" x14ac:dyDescent="0.2">
      <c r="S154" s="75"/>
    </row>
    <row r="155" spans="19:19" x14ac:dyDescent="0.2">
      <c r="S155" s="75"/>
    </row>
    <row r="156" spans="19:19" x14ac:dyDescent="0.2">
      <c r="S156" s="75"/>
    </row>
    <row r="157" spans="19:19" x14ac:dyDescent="0.2">
      <c r="S157" s="75"/>
    </row>
    <row r="158" spans="19:19" x14ac:dyDescent="0.2">
      <c r="S158" s="75"/>
    </row>
    <row r="159" spans="19:19" x14ac:dyDescent="0.2">
      <c r="S159" s="75"/>
    </row>
    <row r="160" spans="19:19" x14ac:dyDescent="0.2">
      <c r="S160" s="75"/>
    </row>
    <row r="161" spans="19:19" x14ac:dyDescent="0.2">
      <c r="S161" s="75"/>
    </row>
    <row r="162" spans="19:19" x14ac:dyDescent="0.2">
      <c r="S162" s="75"/>
    </row>
    <row r="163" spans="19:19" x14ac:dyDescent="0.2">
      <c r="S163" s="75"/>
    </row>
    <row r="164" spans="19:19" x14ac:dyDescent="0.2">
      <c r="S164" s="75"/>
    </row>
    <row r="165" spans="19:19" x14ac:dyDescent="0.2">
      <c r="S165" s="75"/>
    </row>
    <row r="166" spans="19:19" x14ac:dyDescent="0.2">
      <c r="S166" s="75"/>
    </row>
    <row r="167" spans="19:19" x14ac:dyDescent="0.2">
      <c r="S167" s="75"/>
    </row>
    <row r="168" spans="19:19" x14ac:dyDescent="0.2">
      <c r="S168" s="75"/>
    </row>
    <row r="169" spans="19:19" x14ac:dyDescent="0.2">
      <c r="S169" s="75"/>
    </row>
    <row r="170" spans="19:19" x14ac:dyDescent="0.2">
      <c r="S170" s="75"/>
    </row>
    <row r="171" spans="19:19" x14ac:dyDescent="0.2">
      <c r="S171" s="75"/>
    </row>
    <row r="172" spans="19:19" x14ac:dyDescent="0.2">
      <c r="S172" s="75"/>
    </row>
    <row r="173" spans="19:19" x14ac:dyDescent="0.2">
      <c r="S173" s="75"/>
    </row>
    <row r="174" spans="19:19" x14ac:dyDescent="0.2">
      <c r="S174" s="75"/>
    </row>
    <row r="175" spans="19:19" x14ac:dyDescent="0.2">
      <c r="S175" s="75"/>
    </row>
    <row r="176" spans="19:19" x14ac:dyDescent="0.2">
      <c r="S176" s="75"/>
    </row>
    <row r="177" spans="19:19" x14ac:dyDescent="0.2">
      <c r="S177" s="75"/>
    </row>
    <row r="178" spans="19:19" x14ac:dyDescent="0.2">
      <c r="S178" s="75"/>
    </row>
    <row r="179" spans="19:19" x14ac:dyDescent="0.2">
      <c r="S179" s="75"/>
    </row>
    <row r="180" spans="19:19" x14ac:dyDescent="0.2">
      <c r="S180" s="75"/>
    </row>
    <row r="181" spans="19:19" x14ac:dyDescent="0.2">
      <c r="S181" s="75"/>
    </row>
    <row r="182" spans="19:19" x14ac:dyDescent="0.2">
      <c r="S182" s="75"/>
    </row>
    <row r="183" spans="19:19" x14ac:dyDescent="0.2">
      <c r="S183" s="75"/>
    </row>
    <row r="184" spans="19:19" x14ac:dyDescent="0.2">
      <c r="S184" s="75"/>
    </row>
    <row r="185" spans="19:19" x14ac:dyDescent="0.2">
      <c r="S185" s="75"/>
    </row>
    <row r="186" spans="19:19" x14ac:dyDescent="0.2">
      <c r="S186" s="75"/>
    </row>
    <row r="187" spans="19:19" x14ac:dyDescent="0.2">
      <c r="S187" s="75"/>
    </row>
    <row r="188" spans="19:19" x14ac:dyDescent="0.2">
      <c r="S188" s="75"/>
    </row>
    <row r="189" spans="19:19" x14ac:dyDescent="0.2">
      <c r="S189" s="75"/>
    </row>
    <row r="190" spans="19:19" x14ac:dyDescent="0.2">
      <c r="S190" s="75"/>
    </row>
    <row r="191" spans="19:19" x14ac:dyDescent="0.2">
      <c r="S191" s="75"/>
    </row>
    <row r="192" spans="19:19" x14ac:dyDescent="0.2">
      <c r="S192" s="75"/>
    </row>
    <row r="193" spans="19:19" x14ac:dyDescent="0.2">
      <c r="S193" s="75"/>
    </row>
    <row r="194" spans="19:19" x14ac:dyDescent="0.2">
      <c r="S194" s="75"/>
    </row>
    <row r="195" spans="19:19" x14ac:dyDescent="0.2">
      <c r="S195" s="75"/>
    </row>
    <row r="196" spans="19:19" x14ac:dyDescent="0.2">
      <c r="S196" s="75"/>
    </row>
    <row r="197" spans="19:19" x14ac:dyDescent="0.2">
      <c r="S197" s="75"/>
    </row>
    <row r="198" spans="19:19" x14ac:dyDescent="0.2">
      <c r="S198" s="75"/>
    </row>
    <row r="199" spans="19:19" x14ac:dyDescent="0.2">
      <c r="S199" s="75"/>
    </row>
    <row r="200" spans="19:19" x14ac:dyDescent="0.2">
      <c r="S200" s="75"/>
    </row>
    <row r="201" spans="19:19" x14ac:dyDescent="0.2">
      <c r="S201" s="75"/>
    </row>
    <row r="202" spans="19:19" x14ac:dyDescent="0.2">
      <c r="S202" s="75"/>
    </row>
    <row r="203" spans="19:19" x14ac:dyDescent="0.2">
      <c r="S203" s="75"/>
    </row>
    <row r="204" spans="19:19" x14ac:dyDescent="0.2">
      <c r="S204" s="75"/>
    </row>
    <row r="205" spans="19:19" x14ac:dyDescent="0.2">
      <c r="S205" s="75"/>
    </row>
    <row r="206" spans="19:19" x14ac:dyDescent="0.2">
      <c r="S206" s="75"/>
    </row>
    <row r="207" spans="19:19" x14ac:dyDescent="0.2">
      <c r="S207" s="75"/>
    </row>
    <row r="208" spans="19:19" x14ac:dyDescent="0.2">
      <c r="S208" s="75"/>
    </row>
    <row r="209" spans="19:19" x14ac:dyDescent="0.2">
      <c r="S209" s="75"/>
    </row>
    <row r="210" spans="19:19" x14ac:dyDescent="0.2">
      <c r="S210" s="75"/>
    </row>
    <row r="211" spans="19:19" x14ac:dyDescent="0.2">
      <c r="S211" s="75"/>
    </row>
    <row r="212" spans="19:19" x14ac:dyDescent="0.2">
      <c r="S212" s="75"/>
    </row>
    <row r="213" spans="19:19" x14ac:dyDescent="0.2">
      <c r="S213" s="75"/>
    </row>
    <row r="214" spans="19:19" x14ac:dyDescent="0.2">
      <c r="S214" s="75"/>
    </row>
    <row r="215" spans="19:19" x14ac:dyDescent="0.2">
      <c r="S215" s="75"/>
    </row>
    <row r="216" spans="19:19" x14ac:dyDescent="0.2">
      <c r="S216" s="75"/>
    </row>
    <row r="217" spans="19:19" x14ac:dyDescent="0.2">
      <c r="S217" s="75"/>
    </row>
    <row r="218" spans="19:19" x14ac:dyDescent="0.2">
      <c r="S218" s="75"/>
    </row>
    <row r="219" spans="19:19" x14ac:dyDescent="0.2">
      <c r="S219" s="75"/>
    </row>
    <row r="220" spans="19:19" x14ac:dyDescent="0.2">
      <c r="S220" s="75"/>
    </row>
    <row r="221" spans="19:19" x14ac:dyDescent="0.2">
      <c r="S221" s="75"/>
    </row>
    <row r="222" spans="19:19" x14ac:dyDescent="0.2">
      <c r="S222" s="75"/>
    </row>
    <row r="223" spans="19:19" x14ac:dyDescent="0.2">
      <c r="S223" s="75"/>
    </row>
    <row r="224" spans="19:19" x14ac:dyDescent="0.2">
      <c r="S224" s="75"/>
    </row>
    <row r="225" spans="19:19" x14ac:dyDescent="0.2">
      <c r="S225" s="75"/>
    </row>
    <row r="226" spans="19:19" x14ac:dyDescent="0.2">
      <c r="S226" s="75"/>
    </row>
    <row r="227" spans="19:19" x14ac:dyDescent="0.2">
      <c r="S227" s="75"/>
    </row>
    <row r="228" spans="19:19" x14ac:dyDescent="0.2">
      <c r="S228" s="75"/>
    </row>
    <row r="229" spans="19:19" x14ac:dyDescent="0.2">
      <c r="S229" s="75"/>
    </row>
    <row r="230" spans="19:19" x14ac:dyDescent="0.2">
      <c r="S230" s="75"/>
    </row>
    <row r="231" spans="19:19" x14ac:dyDescent="0.2">
      <c r="S231" s="75"/>
    </row>
    <row r="232" spans="19:19" x14ac:dyDescent="0.2">
      <c r="S232" s="75"/>
    </row>
    <row r="233" spans="19:19" x14ac:dyDescent="0.2">
      <c r="S233" s="75"/>
    </row>
    <row r="234" spans="19:19" x14ac:dyDescent="0.2">
      <c r="S234" s="75"/>
    </row>
    <row r="235" spans="19:19" x14ac:dyDescent="0.2">
      <c r="S235" s="75"/>
    </row>
    <row r="236" spans="19:19" x14ac:dyDescent="0.2">
      <c r="S236" s="75"/>
    </row>
    <row r="237" spans="19:19" x14ac:dyDescent="0.2">
      <c r="S237" s="75"/>
    </row>
    <row r="238" spans="19:19" x14ac:dyDescent="0.2">
      <c r="S238" s="75"/>
    </row>
    <row r="239" spans="19:19" x14ac:dyDescent="0.2">
      <c r="S239" s="75"/>
    </row>
    <row r="240" spans="19:19" x14ac:dyDescent="0.2">
      <c r="S240" s="75"/>
    </row>
    <row r="241" spans="19:19" x14ac:dyDescent="0.2">
      <c r="S241" s="75"/>
    </row>
    <row r="242" spans="19:19" x14ac:dyDescent="0.2">
      <c r="S242" s="75"/>
    </row>
    <row r="243" spans="19:19" x14ac:dyDescent="0.2">
      <c r="S243" s="75"/>
    </row>
    <row r="244" spans="19:19" x14ac:dyDescent="0.2">
      <c r="S244" s="75"/>
    </row>
    <row r="245" spans="19:19" x14ac:dyDescent="0.2">
      <c r="S245" s="75"/>
    </row>
    <row r="246" spans="19:19" x14ac:dyDescent="0.2">
      <c r="S246" s="75"/>
    </row>
    <row r="247" spans="19:19" x14ac:dyDescent="0.2">
      <c r="S247" s="75"/>
    </row>
    <row r="248" spans="19:19" x14ac:dyDescent="0.2">
      <c r="S248" s="75"/>
    </row>
    <row r="249" spans="19:19" x14ac:dyDescent="0.2">
      <c r="S249" s="75"/>
    </row>
    <row r="250" spans="19:19" x14ac:dyDescent="0.2">
      <c r="S250" s="75"/>
    </row>
    <row r="251" spans="19:19" x14ac:dyDescent="0.2">
      <c r="S251" s="75"/>
    </row>
    <row r="252" spans="19:19" x14ac:dyDescent="0.2">
      <c r="S252" s="75"/>
    </row>
    <row r="253" spans="19:19" x14ac:dyDescent="0.2">
      <c r="S253" s="75"/>
    </row>
    <row r="254" spans="19:19" x14ac:dyDescent="0.2">
      <c r="S254" s="75"/>
    </row>
    <row r="255" spans="19:19" x14ac:dyDescent="0.2">
      <c r="S255" s="75"/>
    </row>
    <row r="256" spans="19:19" x14ac:dyDescent="0.2">
      <c r="S256" s="75"/>
    </row>
    <row r="257" spans="19:19" x14ac:dyDescent="0.2">
      <c r="S257" s="75"/>
    </row>
    <row r="258" spans="19:19" x14ac:dyDescent="0.2">
      <c r="S258" s="75"/>
    </row>
    <row r="259" spans="19:19" x14ac:dyDescent="0.2">
      <c r="S259" s="75"/>
    </row>
    <row r="260" spans="19:19" x14ac:dyDescent="0.2">
      <c r="S260" s="75"/>
    </row>
    <row r="261" spans="19:19" x14ac:dyDescent="0.2">
      <c r="S261" s="75"/>
    </row>
    <row r="262" spans="19:19" x14ac:dyDescent="0.2">
      <c r="S262" s="75"/>
    </row>
    <row r="263" spans="19:19" x14ac:dyDescent="0.2">
      <c r="S263" s="75"/>
    </row>
    <row r="264" spans="19:19" x14ac:dyDescent="0.2">
      <c r="S264" s="75"/>
    </row>
    <row r="265" spans="19:19" x14ac:dyDescent="0.2">
      <c r="S265" s="75"/>
    </row>
    <row r="266" spans="19:19" x14ac:dyDescent="0.2">
      <c r="S266" s="75"/>
    </row>
    <row r="267" spans="19:19" x14ac:dyDescent="0.2">
      <c r="S267" s="75"/>
    </row>
    <row r="268" spans="19:19" x14ac:dyDescent="0.2">
      <c r="S268" s="75"/>
    </row>
    <row r="269" spans="19:19" x14ac:dyDescent="0.2">
      <c r="S269" s="75"/>
    </row>
    <row r="270" spans="19:19" x14ac:dyDescent="0.2">
      <c r="S270" s="75"/>
    </row>
    <row r="271" spans="19:19" x14ac:dyDescent="0.2">
      <c r="S271" s="75"/>
    </row>
    <row r="272" spans="19:19" x14ac:dyDescent="0.2">
      <c r="S272" s="75"/>
    </row>
    <row r="273" spans="19:19" x14ac:dyDescent="0.2">
      <c r="S273" s="75"/>
    </row>
    <row r="274" spans="19:19" x14ac:dyDescent="0.2">
      <c r="S274" s="75"/>
    </row>
    <row r="275" spans="19:19" x14ac:dyDescent="0.2">
      <c r="S275" s="75"/>
    </row>
    <row r="276" spans="19:19" x14ac:dyDescent="0.2">
      <c r="S276" s="75"/>
    </row>
    <row r="277" spans="19:19" x14ac:dyDescent="0.2">
      <c r="S277" s="75"/>
    </row>
    <row r="278" spans="19:19" x14ac:dyDescent="0.2">
      <c r="S278" s="75"/>
    </row>
    <row r="279" spans="19:19" x14ac:dyDescent="0.2">
      <c r="S279" s="75"/>
    </row>
    <row r="280" spans="19:19" x14ac:dyDescent="0.2">
      <c r="S280" s="75"/>
    </row>
    <row r="281" spans="19:19" x14ac:dyDescent="0.2">
      <c r="S281" s="75"/>
    </row>
    <row r="282" spans="19:19" x14ac:dyDescent="0.2">
      <c r="S282" s="75"/>
    </row>
    <row r="283" spans="19:19" x14ac:dyDescent="0.2">
      <c r="S283" s="75"/>
    </row>
    <row r="284" spans="19:19" x14ac:dyDescent="0.2">
      <c r="S284" s="75"/>
    </row>
    <row r="285" spans="19:19" x14ac:dyDescent="0.2">
      <c r="S285" s="75"/>
    </row>
    <row r="286" spans="19:19" x14ac:dyDescent="0.2">
      <c r="S286" s="75"/>
    </row>
    <row r="287" spans="19:19" x14ac:dyDescent="0.2">
      <c r="S287" s="75"/>
    </row>
    <row r="288" spans="19:19" x14ac:dyDescent="0.2">
      <c r="S288" s="75"/>
    </row>
    <row r="289" spans="19:19" x14ac:dyDescent="0.2">
      <c r="S289" s="75"/>
    </row>
    <row r="290" spans="19:19" x14ac:dyDescent="0.2">
      <c r="S290" s="75"/>
    </row>
    <row r="291" spans="19:19" x14ac:dyDescent="0.2">
      <c r="S291" s="75"/>
    </row>
    <row r="292" spans="19:19" x14ac:dyDescent="0.2">
      <c r="S292" s="75"/>
    </row>
    <row r="293" spans="19:19" x14ac:dyDescent="0.2">
      <c r="S293" s="75"/>
    </row>
    <row r="294" spans="19:19" x14ac:dyDescent="0.2">
      <c r="S294" s="75"/>
    </row>
    <row r="295" spans="19:19" x14ac:dyDescent="0.2">
      <c r="S295" s="75"/>
    </row>
    <row r="296" spans="19:19" x14ac:dyDescent="0.2">
      <c r="S296" s="75"/>
    </row>
    <row r="297" spans="19:19" x14ac:dyDescent="0.2">
      <c r="S297" s="75"/>
    </row>
    <row r="298" spans="19:19" x14ac:dyDescent="0.2">
      <c r="S298" s="75"/>
    </row>
    <row r="299" spans="19:19" x14ac:dyDescent="0.2">
      <c r="S299" s="75"/>
    </row>
    <row r="300" spans="19:19" x14ac:dyDescent="0.2">
      <c r="S300" s="75"/>
    </row>
    <row r="301" spans="19:19" x14ac:dyDescent="0.2">
      <c r="S301" s="75"/>
    </row>
    <row r="302" spans="19:19" x14ac:dyDescent="0.2">
      <c r="S302" s="75"/>
    </row>
    <row r="303" spans="19:19" x14ac:dyDescent="0.2">
      <c r="S303" s="75"/>
    </row>
    <row r="304" spans="19:19" x14ac:dyDescent="0.2">
      <c r="S304" s="75"/>
    </row>
    <row r="305" spans="19:19" x14ac:dyDescent="0.2">
      <c r="S305" s="75"/>
    </row>
  </sheetData>
  <hyperlinks>
    <hyperlink ref="D4" r:id="rId1" display="https://www.screener.in/company/NESTLEIND/" xr:uid="{39605EAF-3F6C-D14E-9026-73B4715792AD}"/>
    <hyperlink ref="D5" r:id="rId2" display="https://www.screener.in/company/BRITANNIA/consolidated/" xr:uid="{440D8D7C-F574-9A47-B8B1-6F1025D571E0}"/>
    <hyperlink ref="D6" r:id="rId3" display="https://www.screener.in/company/BIKAJI/consolidated/" xr:uid="{EB5F0F1C-FB31-EE43-B943-04CB8D55A20A}"/>
    <hyperlink ref="D7" r:id="rId4" display="https://www.screener.in/company/ZYDUSWELL/consolidated/" xr:uid="{F05E48E4-5109-A24D-9479-3D192B9C1B1E}"/>
    <hyperlink ref="D8" r:id="rId5" display="https://www.screener.in/company/BBTC/consolidated/" xr:uid="{9CF0DB51-A199-2040-B932-A18EA77D2DC4}"/>
    <hyperlink ref="D9" r:id="rId6" display="https://www.screener.in/company/BECTORFOOD/" xr:uid="{7BE06542-A40E-A54E-8603-55755F3A6EA4}"/>
    <hyperlink ref="D10" r:id="rId7" display="https://www.screener.in/company/GOPAL/" xr:uid="{14CC70D2-1349-7043-ABBC-B78C5547C386}"/>
    <hyperlink ref="D15" r:id="rId8" display="https://www.screener.in/company/NESTLEIND/" xr:uid="{38A13891-CE4D-CC43-9D72-EC2E418D54B6}"/>
    <hyperlink ref="D16" r:id="rId9" display="https://www.screener.in/company/BRITANNIA/consolidated/" xr:uid="{1F9ACC74-388C-2540-97F3-032634DDEF63}"/>
    <hyperlink ref="D17" r:id="rId10" display="https://www.screener.in/company/BIKAJI/consolidated/" xr:uid="{05BE2E4A-7E58-3B4E-9997-E41E7FE1FE00}"/>
    <hyperlink ref="D18" r:id="rId11" display="https://www.screener.in/company/ZYDUSWELL/consolidated/" xr:uid="{8CA3628C-D86F-0B4E-8003-B4A87615086D}"/>
    <hyperlink ref="D19" r:id="rId12" display="https://www.screener.in/company/GOPAL/" xr:uid="{9A93178A-AB2F-B54A-BC85-2D475B422B96}"/>
  </hyperlink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8DA8-5654-C245-8BDE-B4E4531E38F6}">
  <dimension ref="B2:K43"/>
  <sheetViews>
    <sheetView zoomScale="75" zoomScaleNormal="75" workbookViewId="0">
      <selection activeCell="J35" sqref="J35"/>
    </sheetView>
  </sheetViews>
  <sheetFormatPr baseColWidth="10" defaultColWidth="10.83203125" defaultRowHeight="15" x14ac:dyDescent="0.2"/>
  <cols>
    <col min="1" max="1" width="2.1640625" customWidth="1"/>
    <col min="2" max="2" width="17.33203125" customWidth="1"/>
    <col min="3" max="3" width="9.33203125" customWidth="1"/>
    <col min="4" max="4" width="14.33203125" customWidth="1"/>
    <col min="5" max="5" width="16.83203125" customWidth="1"/>
    <col min="6" max="6" width="17.1640625" customWidth="1"/>
    <col min="7" max="7" width="15.6640625" customWidth="1"/>
    <col min="10" max="10" width="20.1640625" bestFit="1" customWidth="1"/>
    <col min="11" max="11" width="18.1640625" bestFit="1" customWidth="1"/>
  </cols>
  <sheetData>
    <row r="2" spans="2:11" x14ac:dyDescent="0.2">
      <c r="B2" t="s">
        <v>367</v>
      </c>
    </row>
    <row r="4" spans="2:11" x14ac:dyDescent="0.2">
      <c r="B4" t="s">
        <v>373</v>
      </c>
    </row>
    <row r="6" spans="2:11" x14ac:dyDescent="0.2">
      <c r="B6" t="s">
        <v>368</v>
      </c>
    </row>
    <row r="8" spans="2:11" ht="22" customHeight="1" x14ac:dyDescent="0.2">
      <c r="B8" t="s">
        <v>369</v>
      </c>
      <c r="D8" t="s">
        <v>370</v>
      </c>
      <c r="E8" t="s">
        <v>371</v>
      </c>
      <c r="F8" t="s">
        <v>372</v>
      </c>
      <c r="G8" t="s">
        <v>374</v>
      </c>
      <c r="H8" t="s">
        <v>375</v>
      </c>
      <c r="I8" t="s">
        <v>376</v>
      </c>
      <c r="J8" t="s">
        <v>377</v>
      </c>
      <c r="K8" t="s">
        <v>379</v>
      </c>
    </row>
    <row r="10" spans="2:11" x14ac:dyDescent="0.2">
      <c r="B10" s="47" t="s">
        <v>348</v>
      </c>
      <c r="D10" s="85" t="s">
        <v>378</v>
      </c>
      <c r="E10" s="81" t="e">
        <f>#REF!</f>
        <v>#REF!</v>
      </c>
      <c r="F10" s="100" t="e">
        <f>#REF!</f>
        <v>#REF!</v>
      </c>
      <c r="G10" s="101">
        <v>0.3</v>
      </c>
      <c r="H10" s="60" t="e">
        <f>E10/F10</f>
        <v>#REF!</v>
      </c>
      <c r="I10" s="5" t="e">
        <f>E10/SUM(E10:F10)</f>
        <v>#REF!</v>
      </c>
      <c r="J10" s="67">
        <f>IFERROR('Beta-Regression'!E15,0)</f>
        <v>0.75565254189856446</v>
      </c>
      <c r="K10" s="67" t="e">
        <f>J10/(1+(1-G10)*H10)</f>
        <v>#REF!</v>
      </c>
    </row>
    <row r="11" spans="2:11" x14ac:dyDescent="0.2">
      <c r="B11" s="47" t="s">
        <v>349</v>
      </c>
      <c r="D11" s="85" t="s">
        <v>378</v>
      </c>
      <c r="E11" s="81" t="e">
        <f>#REF!</f>
        <v>#REF!</v>
      </c>
      <c r="F11" s="100" t="e">
        <f>#REF!</f>
        <v>#REF!</v>
      </c>
      <c r="G11" s="101">
        <v>0.3</v>
      </c>
      <c r="H11" s="60" t="e">
        <f t="shared" ref="H11:H16" si="0">E11/F11</f>
        <v>#REF!</v>
      </c>
      <c r="I11" s="5" t="e">
        <f t="shared" ref="I11:I16" si="1">E11/SUM(E11:F11)</f>
        <v>#REF!</v>
      </c>
      <c r="J11" s="67">
        <f>IFERROR('Beta-Regression'!E16,0)</f>
        <v>0.53478666809016817</v>
      </c>
      <c r="K11" s="67" t="e">
        <f t="shared" ref="K11:K16" si="2">J11/(1+(1-G11)*H11)</f>
        <v>#REF!</v>
      </c>
    </row>
    <row r="12" spans="2:11" x14ac:dyDescent="0.2">
      <c r="B12" s="47" t="s">
        <v>350</v>
      </c>
      <c r="D12" s="85" t="s">
        <v>378</v>
      </c>
      <c r="E12" s="81" t="e">
        <f>#REF!</f>
        <v>#REF!</v>
      </c>
      <c r="F12" s="100" t="e">
        <f>#REF!</f>
        <v>#REF!</v>
      </c>
      <c r="G12" s="101">
        <v>0.3</v>
      </c>
      <c r="H12" s="60" t="e">
        <f t="shared" si="0"/>
        <v>#REF!</v>
      </c>
      <c r="I12" s="5" t="e">
        <f t="shared" si="1"/>
        <v>#REF!</v>
      </c>
      <c r="J12" s="67">
        <f>IFERROR('Beta-Regression'!E17,0)</f>
        <v>0.91697347535477569</v>
      </c>
      <c r="K12" s="67" t="e">
        <f t="shared" si="2"/>
        <v>#REF!</v>
      </c>
    </row>
    <row r="13" spans="2:11" x14ac:dyDescent="0.2">
      <c r="B13" s="47" t="s">
        <v>351</v>
      </c>
      <c r="D13" s="85" t="s">
        <v>378</v>
      </c>
      <c r="E13" s="81" t="e">
        <f>#REF!</f>
        <v>#REF!</v>
      </c>
      <c r="F13" s="100" t="e">
        <f>#REF!</f>
        <v>#REF!</v>
      </c>
      <c r="G13" s="101">
        <v>0.3</v>
      </c>
      <c r="H13" s="60" t="e">
        <f t="shared" si="0"/>
        <v>#REF!</v>
      </c>
      <c r="I13" s="5" t="e">
        <f t="shared" si="1"/>
        <v>#REF!</v>
      </c>
      <c r="J13" s="67">
        <f>IFERROR('Beta-Regression'!E18,0)</f>
        <v>0.84414185651970408</v>
      </c>
      <c r="K13" s="67" t="e">
        <f t="shared" si="2"/>
        <v>#REF!</v>
      </c>
    </row>
    <row r="14" spans="2:11" x14ac:dyDescent="0.2">
      <c r="B14" s="47" t="s">
        <v>352</v>
      </c>
      <c r="D14" s="85" t="s">
        <v>378</v>
      </c>
      <c r="E14" s="81" t="e">
        <f>#REF!</f>
        <v>#REF!</v>
      </c>
      <c r="F14" s="100" t="e">
        <f>#REF!</f>
        <v>#REF!</v>
      </c>
      <c r="G14" s="101">
        <v>0.3</v>
      </c>
      <c r="H14" s="60" t="e">
        <f t="shared" si="0"/>
        <v>#REF!</v>
      </c>
      <c r="I14" s="5" t="e">
        <f t="shared" si="1"/>
        <v>#REF!</v>
      </c>
      <c r="J14" s="67">
        <v>0</v>
      </c>
      <c r="K14" s="67" t="e">
        <f t="shared" si="2"/>
        <v>#REF!</v>
      </c>
    </row>
    <row r="15" spans="2:11" x14ac:dyDescent="0.2">
      <c r="B15" s="47" t="s">
        <v>353</v>
      </c>
      <c r="D15" s="85" t="s">
        <v>378</v>
      </c>
      <c r="E15" s="81" t="e">
        <f>#REF!</f>
        <v>#REF!</v>
      </c>
      <c r="F15" s="100" t="e">
        <f>#REF!</f>
        <v>#REF!</v>
      </c>
      <c r="G15" s="101">
        <v>0.3</v>
      </c>
      <c r="H15" s="60" t="e">
        <f t="shared" si="0"/>
        <v>#REF!</v>
      </c>
      <c r="I15" s="5" t="e">
        <f t="shared" si="1"/>
        <v>#REF!</v>
      </c>
      <c r="J15" s="67">
        <v>0</v>
      </c>
      <c r="K15" s="67" t="e">
        <f t="shared" si="2"/>
        <v>#REF!</v>
      </c>
    </row>
    <row r="16" spans="2:11" x14ac:dyDescent="0.2">
      <c r="B16" s="47" t="s">
        <v>354</v>
      </c>
      <c r="D16" s="85" t="s">
        <v>378</v>
      </c>
      <c r="E16" s="81" t="e">
        <f>#REF!</f>
        <v>#REF!</v>
      </c>
      <c r="F16" s="100" t="e">
        <f>#REF!</f>
        <v>#REF!</v>
      </c>
      <c r="G16" s="101">
        <v>0.3</v>
      </c>
      <c r="H16" s="60" t="e">
        <f t="shared" si="0"/>
        <v>#REF!</v>
      </c>
      <c r="I16" s="5" t="e">
        <f t="shared" si="1"/>
        <v>#REF!</v>
      </c>
      <c r="J16" s="67">
        <f>IFERROR('Beta-Regression'!E19,0)</f>
        <v>0.96211318184155314</v>
      </c>
      <c r="K16" s="67" t="e">
        <f t="shared" si="2"/>
        <v>#REF!</v>
      </c>
    </row>
    <row r="18" spans="2:11" x14ac:dyDescent="0.2">
      <c r="F18" t="s">
        <v>380</v>
      </c>
      <c r="G18" s="5">
        <f>AVERAGE(G10:G16)</f>
        <v>0.3</v>
      </c>
      <c r="H18" s="5" t="e">
        <f>AVERAGE(H10:H16)</f>
        <v>#REF!</v>
      </c>
      <c r="I18" s="5" t="e">
        <f t="shared" ref="I18:K18" si="3">AVERAGE(I10:I16)</f>
        <v>#REF!</v>
      </c>
      <c r="J18" s="5">
        <f t="shared" si="3"/>
        <v>0.57338110338639503</v>
      </c>
      <c r="K18" s="5" t="e">
        <f t="shared" si="3"/>
        <v>#REF!</v>
      </c>
    </row>
    <row r="19" spans="2:11" x14ac:dyDescent="0.2">
      <c r="F19" t="s">
        <v>195</v>
      </c>
      <c r="G19" s="5">
        <f>MEDIAN(G10:G16)</f>
        <v>0.3</v>
      </c>
      <c r="H19" s="5" t="e">
        <f t="shared" ref="H19:K19" si="4">MEDIAN(H10:H16)</f>
        <v>#REF!</v>
      </c>
      <c r="I19" s="5" t="e">
        <f t="shared" si="4"/>
        <v>#REF!</v>
      </c>
      <c r="J19" s="5">
        <f t="shared" si="4"/>
        <v>0.75565254189856446</v>
      </c>
      <c r="K19" s="5" t="e">
        <f t="shared" si="4"/>
        <v>#REF!</v>
      </c>
    </row>
    <row r="23" spans="2:11" x14ac:dyDescent="0.2">
      <c r="B23" s="103" t="s">
        <v>381</v>
      </c>
      <c r="C23" s="104"/>
      <c r="D23" s="104"/>
      <c r="G23" s="103" t="s">
        <v>382</v>
      </c>
      <c r="H23" s="104"/>
      <c r="I23" s="104"/>
      <c r="J23" s="104"/>
    </row>
    <row r="24" spans="2:11" x14ac:dyDescent="0.2">
      <c r="G24" t="s">
        <v>386</v>
      </c>
      <c r="J24" s="101">
        <v>7.17E-2</v>
      </c>
    </row>
    <row r="25" spans="2:11" x14ac:dyDescent="0.2">
      <c r="B25" t="s">
        <v>383</v>
      </c>
      <c r="D25" s="101">
        <f>2196/444</f>
        <v>4.9459459459459456</v>
      </c>
      <c r="G25" t="s">
        <v>387</v>
      </c>
      <c r="J25" s="101">
        <f>'% Change'!J9-'Beta - comps'!J24</f>
        <v>-5.80875E-2</v>
      </c>
    </row>
    <row r="26" spans="2:11" x14ac:dyDescent="0.2">
      <c r="B26" t="s">
        <v>384</v>
      </c>
      <c r="D26" s="101">
        <v>0.3</v>
      </c>
      <c r="G26" s="104" t="s">
        <v>388</v>
      </c>
      <c r="H26" s="104"/>
      <c r="I26" s="104"/>
      <c r="J26" s="109">
        <f>J10</f>
        <v>0.75565254189856446</v>
      </c>
    </row>
    <row r="27" spans="2:11" x14ac:dyDescent="0.2">
      <c r="B27" s="102" t="s">
        <v>385</v>
      </c>
      <c r="C27" s="102"/>
      <c r="D27" s="108">
        <f>D25*(1-D26)</f>
        <v>3.4621621621621617</v>
      </c>
      <c r="G27" t="s">
        <v>389</v>
      </c>
      <c r="J27" s="5">
        <f>J24+J25*J26</f>
        <v>2.7806032972467136E-2</v>
      </c>
    </row>
    <row r="30" spans="2:11" x14ac:dyDescent="0.2">
      <c r="B30" s="103" t="s">
        <v>390</v>
      </c>
      <c r="C30" s="104"/>
      <c r="D30" s="104"/>
      <c r="G30" s="103" t="s">
        <v>382</v>
      </c>
      <c r="H30" s="104"/>
      <c r="I30" s="104"/>
      <c r="J30" s="104"/>
    </row>
    <row r="32" spans="2:11" x14ac:dyDescent="0.2">
      <c r="D32" s="2" t="s">
        <v>391</v>
      </c>
      <c r="E32" s="2" t="s">
        <v>392</v>
      </c>
      <c r="G32" t="s">
        <v>395</v>
      </c>
      <c r="J32" s="5" t="e">
        <f>K19</f>
        <v>#REF!</v>
      </c>
    </row>
    <row r="33" spans="2:10" x14ac:dyDescent="0.2">
      <c r="B33" t="s">
        <v>393</v>
      </c>
      <c r="C33" t="e">
        <f>E10</f>
        <v>#REF!</v>
      </c>
      <c r="D33" s="5" t="e">
        <f>C33/$C$35</f>
        <v>#REF!</v>
      </c>
      <c r="E33" s="5">
        <f>J18</f>
        <v>0.57338110338639503</v>
      </c>
      <c r="G33" t="s">
        <v>396</v>
      </c>
      <c r="J33" s="5" t="e">
        <f>E37</f>
        <v>#REF!</v>
      </c>
    </row>
    <row r="34" spans="2:10" x14ac:dyDescent="0.2">
      <c r="B34" t="s">
        <v>79</v>
      </c>
      <c r="C34" s="110" t="e">
        <f>F10</f>
        <v>#REF!</v>
      </c>
      <c r="D34" s="5" t="e">
        <f>C34/$C$35</f>
        <v>#REF!</v>
      </c>
      <c r="E34" s="5" t="e">
        <f>E35-E33</f>
        <v>#REF!</v>
      </c>
      <c r="G34" t="s">
        <v>384</v>
      </c>
      <c r="J34" s="5">
        <f>D26</f>
        <v>0.3</v>
      </c>
    </row>
    <row r="35" spans="2:10" x14ac:dyDescent="0.2">
      <c r="B35" s="102" t="s">
        <v>394</v>
      </c>
      <c r="C35" s="102" t="e">
        <f>SUM(C33:C34)</f>
        <v>#REF!</v>
      </c>
      <c r="D35" s="108" t="e">
        <f>C35/$C$35</f>
        <v>#REF!</v>
      </c>
      <c r="E35" s="108" t="e">
        <f>D35</f>
        <v>#REF!</v>
      </c>
      <c r="G35" s="102" t="s">
        <v>377</v>
      </c>
      <c r="H35" s="102"/>
      <c r="I35" s="102"/>
      <c r="J35" s="111" t="e">
        <f>J32*(1=(1-J34)*J33)</f>
        <v>#REF!</v>
      </c>
    </row>
    <row r="36" spans="2:10" x14ac:dyDescent="0.2">
      <c r="D36" s="104"/>
      <c r="E36" s="104"/>
    </row>
    <row r="37" spans="2:10" x14ac:dyDescent="0.2">
      <c r="B37" s="102" t="s">
        <v>397</v>
      </c>
      <c r="C37" s="102"/>
      <c r="D37" s="5" t="e">
        <f>D33/D34</f>
        <v>#REF!</v>
      </c>
      <c r="E37" s="5" t="e">
        <f>E33/E34</f>
        <v>#REF!</v>
      </c>
    </row>
    <row r="38" spans="2:10" ht="16" thickBot="1" x14ac:dyDescent="0.25">
      <c r="D38" s="5"/>
      <c r="E38" s="5"/>
      <c r="F38" s="2"/>
      <c r="G38" s="105" t="s">
        <v>367</v>
      </c>
      <c r="H38" s="69"/>
      <c r="I38" s="69"/>
      <c r="J38" s="69"/>
    </row>
    <row r="40" spans="2:10" x14ac:dyDescent="0.2">
      <c r="I40" t="s">
        <v>398</v>
      </c>
      <c r="J40" t="s">
        <v>399</v>
      </c>
    </row>
    <row r="41" spans="2:10" x14ac:dyDescent="0.2">
      <c r="G41" t="s">
        <v>400</v>
      </c>
      <c r="I41" s="5">
        <f>D27</f>
        <v>3.4621621621621617</v>
      </c>
      <c r="J41" s="5">
        <f>E33</f>
        <v>0.57338110338639503</v>
      </c>
    </row>
    <row r="42" spans="2:10" x14ac:dyDescent="0.2">
      <c r="G42" t="s">
        <v>401</v>
      </c>
      <c r="I42" s="5">
        <f>J27</f>
        <v>2.7806032972467136E-2</v>
      </c>
      <c r="J42" s="5" t="e">
        <f>E34</f>
        <v>#REF!</v>
      </c>
    </row>
    <row r="43" spans="2:10" x14ac:dyDescent="0.2">
      <c r="G43" s="102" t="s">
        <v>402</v>
      </c>
      <c r="H43" s="102"/>
      <c r="I43" s="102"/>
      <c r="J43" s="108" t="e">
        <f>SUMPRODUCT(I41:I42,J41:J42)</f>
        <v>#REF!</v>
      </c>
    </row>
  </sheetData>
  <hyperlinks>
    <hyperlink ref="B10" r:id="rId1" display="https://www.screener.in/company/NESTLEIND/" xr:uid="{3A48FBA8-5195-8C4F-96CD-372C0B1D2B37}"/>
    <hyperlink ref="B11" r:id="rId2" display="https://www.screener.in/company/BRITANNIA/consolidated/" xr:uid="{811FB3CC-234D-8D4E-9D01-74A21D350C1A}"/>
    <hyperlink ref="B12" r:id="rId3" display="https://www.screener.in/company/BIKAJI/consolidated/" xr:uid="{47366CBA-A03B-9A4D-BB01-7028848442E5}"/>
    <hyperlink ref="B13" r:id="rId4" display="https://www.screener.in/company/ZYDUSWELL/consolidated/" xr:uid="{A56DC550-AAA8-B44E-9E8E-3D51A201C4AF}"/>
    <hyperlink ref="B14" r:id="rId5" display="https://www.screener.in/company/BBTC/consolidated/" xr:uid="{F9E592E0-E34E-994D-9952-AD8A84BDEEF5}"/>
    <hyperlink ref="B15" r:id="rId6" display="https://www.screener.in/company/BECTORFOOD/" xr:uid="{B89FA0CF-3A85-0240-A529-FB3874F45D28}"/>
    <hyperlink ref="B16" r:id="rId7" display="https://www.screener.in/company/GOPAL/" xr:uid="{9417A2B0-C28B-1343-8351-B55F1733B81F}"/>
  </hyperlink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ADC1-FC74-D14F-B9DF-C84D74BF745F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Profit &amp; Loss</vt:lpstr>
      <vt:lpstr>Quarters</vt:lpstr>
      <vt:lpstr>Balance Sheet</vt:lpstr>
      <vt:lpstr>Cash Flow</vt:lpstr>
      <vt:lpstr>Customization</vt:lpstr>
      <vt:lpstr>cash flows</vt:lpstr>
      <vt:lpstr>Data Sheet</vt:lpstr>
      <vt:lpstr>Historical FS</vt:lpstr>
      <vt:lpstr>Ratio Analysis</vt:lpstr>
      <vt:lpstr>Forecating</vt:lpstr>
      <vt:lpstr>% Change</vt:lpstr>
      <vt:lpstr>Beta-Regression</vt:lpstr>
      <vt:lpstr>Beta - comps</vt:lpstr>
      <vt:lpstr>Sheet1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Uday Agrawal</cp:lastModifiedBy>
  <cp:lastPrinted>2012-12-06T18:14:13Z</cp:lastPrinted>
  <dcterms:created xsi:type="dcterms:W3CDTF">2012-08-17T09:55:37Z</dcterms:created>
  <dcterms:modified xsi:type="dcterms:W3CDTF">2026-05-07T08:27:18Z</dcterms:modified>
</cp:coreProperties>
</file>